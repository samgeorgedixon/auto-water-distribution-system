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primary\auto-water-distribution-system\"/>
    </mc:Choice>
  </mc:AlternateContent>
  <xr:revisionPtr revIDLastSave="0" documentId="13_ncr:1_{25F98EDB-42C1-4D56-9B26-DACDB41CD174}" xr6:coauthVersionLast="47" xr6:coauthVersionMax="47" xr10:uidLastSave="{00000000-0000-0000-0000-000000000000}"/>
  <bookViews>
    <workbookView xWindow="-120" yWindow="-120" windowWidth="29040" windowHeight="15840" xr2:uid="{38EBA7E1-48E4-4552-B242-4B8FFED322BD}"/>
  </bookViews>
  <sheets>
    <sheet name="component-order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3" l="1"/>
  <c r="I19" i="3"/>
  <c r="I20" i="3"/>
  <c r="I15" i="3"/>
  <c r="I16" i="3"/>
  <c r="I13" i="3"/>
  <c r="I10" i="3"/>
  <c r="I9" i="3"/>
  <c r="I4" i="3"/>
  <c r="I5" i="3"/>
  <c r="I6" i="3"/>
  <c r="I7" i="3"/>
  <c r="I8" i="3"/>
  <c r="I11" i="3"/>
  <c r="I12" i="3"/>
  <c r="I21" i="3" l="1"/>
</calcChain>
</file>

<file path=xl/sharedStrings.xml><?xml version="1.0" encoding="utf-8"?>
<sst xmlns="http://schemas.openxmlformats.org/spreadsheetml/2006/main" count="71" uniqueCount="51">
  <si>
    <t>Name</t>
  </si>
  <si>
    <t>Part Number</t>
  </si>
  <si>
    <t>Quantity</t>
  </si>
  <si>
    <t>Link</t>
  </si>
  <si>
    <t>Amazon</t>
  </si>
  <si>
    <t>PC's</t>
  </si>
  <si>
    <t>Total</t>
  </si>
  <si>
    <t>Temperature Sensor</t>
  </si>
  <si>
    <t>Shipping</t>
  </si>
  <si>
    <t>Total Price</t>
  </si>
  <si>
    <t>SRD-03VDC-SL-C</t>
  </si>
  <si>
    <t>Water Pump</t>
  </si>
  <si>
    <t>Component</t>
  </si>
  <si>
    <t>Headers (JST)</t>
  </si>
  <si>
    <t>JST-PH 2P / 5P</t>
  </si>
  <si>
    <t>ESP32</t>
  </si>
  <si>
    <t>Shift Register</t>
  </si>
  <si>
    <t>SNx4HC595</t>
  </si>
  <si>
    <t>Relay</t>
  </si>
  <si>
    <t>Order</t>
  </si>
  <si>
    <t>Price</t>
  </si>
  <si>
    <t>Needed to Buy</t>
  </si>
  <si>
    <t>~ 2P=6, 5P=3</t>
  </si>
  <si>
    <t>2 - 3</t>
  </si>
  <si>
    <t>2 -  3</t>
  </si>
  <si>
    <t>Shipping Time (Days)</t>
  </si>
  <si>
    <t>13 - 15</t>
  </si>
  <si>
    <t>Tranistor</t>
  </si>
  <si>
    <t xml:space="preserve">BC337-40 </t>
  </si>
  <si>
    <t>AM2302 / DHT22</t>
  </si>
  <si>
    <t>Dip Switch</t>
  </si>
  <si>
    <t>9 - 12</t>
  </si>
  <si>
    <t>SS12D00G</t>
  </si>
  <si>
    <t>Solenoid Valve (Water)</t>
  </si>
  <si>
    <t>-</t>
  </si>
  <si>
    <t>3 - 5</t>
  </si>
  <si>
    <t>Ebay</t>
  </si>
  <si>
    <t>Resistor</t>
  </si>
  <si>
    <t>Piping</t>
  </si>
  <si>
    <t>3-Way Fitting</t>
  </si>
  <si>
    <t>Nozzles</t>
  </si>
  <si>
    <t>Casing</t>
  </si>
  <si>
    <t>3D Print</t>
  </si>
  <si>
    <t>Perf Board</t>
  </si>
  <si>
    <t>Component Orders</t>
  </si>
  <si>
    <t>Single Sided: 71x51x1</t>
  </si>
  <si>
    <t>0</t>
  </si>
  <si>
    <t>ESP32-DevKitC-v4</t>
  </si>
  <si>
    <t>3 - 4</t>
  </si>
  <si>
    <t>Notes</t>
  </si>
  <si>
    <t>Bend Pins Flat (Like SMT)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</si>
</sst>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43" formatCode="_-* #,##0.00_-;\-* #,##0.0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1" applyAlignment="1">
      <alignment horizontal="left" vertical="center"/>
    </xf>
    <xf numFmtId="0" fontId="2" fillId="0" borderId="0" xfId="0" applyFont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0" xfId="2" applyFont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0" borderId="0" xfId="3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49" fontId="0" fillId="0" borderId="0" xfId="2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Comma" xfId="3" builtinId="3"/>
    <cellStyle name="Currency" xfId="2" builtinId="4"/>
    <cellStyle name="Hyperlink" xfId="1" builtinId="8"/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03711C-AF0B-4EC7-A40E-90D66D92E0A9}" name="Table13" displayName="Table13" ref="A3:K21" totalsRowCount="1" headerRowDxfId="21" dataDxfId="20">
  <autoFilter ref="A3:K20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0505AB0-FB3D-461C-9C3B-2F87CB75CA3E}" name="Name" totalsRowLabel="Total" dataDxfId="19" totalsRowDxfId="18"/>
    <tableColumn id="3" xr3:uid="{B207E827-F951-4957-A3CD-3D5745D7DBB3}" name="Part Number" dataDxfId="17" totalsRowDxfId="16"/>
    <tableColumn id="9" xr3:uid="{CF594871-74F7-4898-9EF1-85312228BC79}" name="Notes" dataDxfId="15" totalsRowDxfId="14"/>
    <tableColumn id="5" xr3:uid="{C62F42C1-483F-4CB2-8088-D2891748CED7}" name="Quantity"/>
    <tableColumn id="7" xr3:uid="{86C5FFE5-26FE-411E-8233-67C26E18EE7D}" name="Price" dataDxfId="13" totalsRowDxfId="12" dataCellStyle="Currency"/>
    <tableColumn id="11" xr3:uid="{064DACA8-37EA-4944-B852-13399DB8A1F9}" name="Shipping" dataDxfId="11" totalsRowDxfId="10" dataCellStyle="Currency"/>
    <tableColumn id="4" xr3:uid="{4365DA71-7823-4A6D-B79A-89D229D256C1}" name="PC's" dataDxfId="9" totalsRowDxfId="8" dataCellStyle="Currency"/>
    <tableColumn id="2" xr3:uid="{B548B73F-E023-486A-8F5B-889414C5F054}" name="Needed to Buy" dataDxfId="7" totalsRowDxfId="6" dataCellStyle="Comma"/>
    <tableColumn id="8" xr3:uid="{609284FB-B55C-4DDE-B373-81C54EBF78C3}" name="Total Price" totalsRowFunction="custom" dataDxfId="5" totalsRowDxfId="4" dataCellStyle="Currency">
      <calculatedColumnFormula>Table13[[#This Row],[Price]]*Table13[[#This Row],[Needed to Buy]]+Table13[[#This Row],[Shipping]]</calculatedColumnFormula>
      <totalsRowFormula>SUM(Table13[Total Price])</totalsRowFormula>
    </tableColumn>
    <tableColumn id="6" xr3:uid="{A5D4A489-4B20-45A7-809F-BD9BDF6944EA}" name="Shipping Time (Days)" dataDxfId="3" totalsRowDxfId="2" dataCellStyle="Currency"/>
    <tableColumn id="10" xr3:uid="{74DC62F8-6FF4-4011-864C-618358397507}" name="Link" dataDxfId="1" totalsRowDxfId="0" dataCellStyle="Hyperlink"/>
  </tableColumns>
  <tableStyleInfo name="TableStyleLight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41417943048?_skw=transistor&amp;itmmeta=01K9N6R8W9A6K5BTKST0CJ3Q40&amp;hash=item20ed2a9008:g:NNsAAOSwnDZUIxVZ&amp;itmprp=enc%3AAQAKAAAA4FkggFvd1GGDu0w3yXCmi1dCA778gt6OKl0RX2O6XEvReNfDHekDghGF8Md3HzHGBHzYjP5RrdBBWiDXMl7e5zGIxFVBXBuAVOja5HGq%2FXq5CX%2BbZ%2FZ9USt9EgncJm9yVyQpc%2BABw%2FApd%2BqKRDjmDHUgXpz%2FIRFk0F97KfGRbJalMapgcwVr82SkDkD8qPlt3lDT6B%2BjW7gxLiLSnkJ3ANA2figtXKXJZBybStGShubWD7VL7laqqXd2b14vZNaDCV9bzIggxKebuiDn4liKZl9nIYuk%2FqCy7auTmZkmWiMp%7Ctkp%3ABFBMwo7hps1m" TargetMode="External"/><Relationship Id="rId3" Type="http://schemas.openxmlformats.org/officeDocument/2006/relationships/hyperlink" Target="https://www.amazon.co.uk/Lyeteung-JST-PH-Connector-Housing-Terminal-2-3-4-5-6-Pin/dp/B0CDG8W41B?crid=65ETIECKI97L&amp;dib=eyJ2IjoiMSJ9.lBREyrST_0WEWKSiM2ubKQ_lD_b9x-vVkyb9ItQQlezb59jcVEnRpwGjG4T6os08NG-gT_vQleWAOY2T4vQ6_UquF4Act2CNAxsX20rtmhczQneCXNUlysmNgPY_zFgqepFbxF8uHkEO9gufM_JKun2ufjHtgLu6wPSgzEgkQ1W2vWYuxrpAKlrM2JdOsmKzEGzRMNq8e2rNXF2V7_F_w1Wjmbqkai8OAq7YjDU2LSwvOl6H71DtdsshKixc-m4-66qHwGnaDcOrAj4y5Z6KjjdNpJxOa1gMpgOyyfJHCpA.W5GGt6qGqyrbXi1NhryRo41m-OivLfRiuoAV-dwnv-g&amp;dib_tag=se&amp;keywords=jst%2Bph&amp;qid=1762630453&amp;sprefix=jst%2Bph%2Caps%2C151&amp;sr=8-9&amp;th=1" TargetMode="External"/><Relationship Id="rId7" Type="http://schemas.openxmlformats.org/officeDocument/2006/relationships/hyperlink" Target="https://www.ebay.co.uk/itm/223791702220?_skw=SRD-03VDC-SL-C&amp;itmmeta=01K9HZZWT3EDKFF9N3WRN2ZG5M&amp;hash=item341b0660cc%3Ag%3AFPgAAOSwp7RbhPTy&amp;itmprp=enc%3AAQAKAAAA8FkggFvd1GGDu0w3yXCmi1fE89yfh5abYNapr%2FkUsemXXq3jTm0h4PH1yT4jxuNun--KQh%2BL735fgVMAUO56EvOmIh97jif5nWMZtJeObaa1yvyB%2BJrhrI1wrFwtuiS5JfP6B%2Bi2TikIjTg9iFcwWk%2BrjiYCUhkhrdFtqKybfH1cexSoH6sEXbKgnwu%2F2tjtt1tvmPRQygGgoo1wZFwaZtP6zd1QnG%2BYXtJrOISze25gL77l83MnT69kLj1WVnTPMDEAlLHEPjsTsDimsP5rRf%2Bw4uZTcHDxspPwS0Hh%2BzuSW2crMft200ZDKQ7tPhsSBA%3D%3D%7Ctkp%3ABFBMms3_v8xm&amp;var=522536603224" TargetMode="External"/><Relationship Id="rId2" Type="http://schemas.openxmlformats.org/officeDocument/2006/relationships/hyperlink" Target="https://www.amazon.co.uk/Position-Vertical-Breadboard-Miniature-SlideSwitch/dp/B09XX98N7P?crid=3PGXNHENS132A&amp;dib=eyJ2IjoiMSJ9.m8GA1HaTUoWrigx7ZWCzzeK7vAR68FGASaIqRsM2LwmirwfgJmIQUWEq3h0yzvgKsRUTYEYy8i47yierjAMdLXyk1yWp0h_ejHKM6Nug1iQKAl1MxxmU2kmLyb3O2ajpUMo_1afYQT_54Mym7psdCsGQXUDoVM-rrCI6q0ESHFYkORJ7dVElfympG-xfj_FKdQEE5-yNr9Y5Psq3mQlQr1AoJM9bCBT0M63he2iShyQMc2JaSZ71-rrWcOUjWXFL0YpZPAAh7MQ4EA4K1FA8CAjQgFBo2sq-MiW5MKPJHcc.ankf2LTV8DXEKwBku9JQ5ScMMQ7CWUQ_Jur2Bd-f_KY&amp;dib_tag=se&amp;keywords=dip%2Bswitch&amp;qid=1762893014&amp;sprefix=dip%2Bswitch%2Caps%2C123&amp;sr=8-15&amp;th=1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335716057176?_skw=DHT22&amp;itmmeta=01K9TC15QVSZ9EP4PMB49A2JMT&amp;hash=item4e2a3c8058:g:2sgAAOSwKx5mmPCC&amp;itmprp=enc%3AAQAKAAAA4FkggFvd1GGDu0w3yXCmi1dnaYf6p3yqWnWeC6qsDIGTO9QCOS35Fs7pkMblAm16jQ%2BAgSlBw%2FVnhybFNOpM1PrDHUXcjyPCrBsBPw4lfNgD0MPf32FktHjjCx6FoNmO95LDfJ7X80p0vlL3%2FwsRnZ23kndZXQ197bs9iczMyu%2BLbIwdvpEDTktDbvxT4tm7iwZFzbUIZp9WD%2BGGkqnz1KEyg%2FXd9%2B6CMqNMveh3iB4Kc6ne%2BkTh%2BFe6YZkLTlOnTpBEgHefELK5F8Xn5kqLV0wxwVVr%2FidXz1DjRfZLPwVj%7Ctkp%3ABk9SR6bdhMzOZg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www.ebay.co.uk/itm/350986629563?_skw=4HC595&amp;itmmeta=01K9TBQG13D9HJSATCYGSW17XN&amp;hash=item51b86ef1bb:g:hwgAAOxygLxSWYqG&amp;itmprp=enc%3AAQAKAAAA4FkggFvd1GGDu0w3yXCmi1f%2Fkex5hHj2wRrqmfikvGlk9uJ7sjoZ16APfeWDajXbTywyp72AglZ9BVcTZTxP2g5ku2piNA98m4TMPPsx4bnZjUfWdBHtOE5oxSrJci0y9sRC2pYRP6rE%2BZuXSBx3hDLjZqidbsvtbM7EPfTV0yBPSeuEnH10Lzf%2FBmT2LKJh41taL0Gs7zkUyccC%2BGMyWu5f9t7RTe%2BOYzUNh8zwyTSbXOylt6XlLq0%2F4qZNn0GTTIXPgZmQBIhF2g2THPdoflxVWKnwngX4xcJx6lKFEYY3%7Ctkp%3ABk9SR9iA3svOZg" TargetMode="External"/><Relationship Id="rId10" Type="http://schemas.openxmlformats.org/officeDocument/2006/relationships/hyperlink" Target="https://www.ebay.co.uk/itm/187246095403?_skw=perfboard&amp;itmmeta=01KA3JK0RX0ZVJFRJ1W9H1621K&amp;hash=item2b98bcac2b:g:KxQAAOSwbl1n5Y2Y&amp;itmprp=enc%3AAQAKAAAA4FkggFvd1GGDu0w3yXCmi1eRXOQJ6YPdkD8BqDuTA5Ory2R5a2hV4%2BVko4Cm5j9ndbwG%2FpXp0uTvZb5rus1vWlpeksYPp6Inx3sYK7Av7%2FRf0xoygC08HnxinASN0joujCvGpXUEDWy4J5%2BtR9PhqE%2FmlyPuwj4KiFk%2BA3AxsW5qk9H%2FSDsebs1L70mTBxe0Hznapt0OCMSlZn5%2FyvuigrqpOQKQ1Z%2FO6JX2YmTbrhvVumjpsrlrLuqjlBVH%2FzMMopyd53fdHETck3AD0Ycj%2Fi446OwbWBvLI4Q3XQXWSy7T%7Ctkp%3ABk9SR-yMzPLQZg" TargetMode="External"/><Relationship Id="rId4" Type="http://schemas.openxmlformats.org/officeDocument/2006/relationships/hyperlink" Target="https://www.ebay.co.uk/itm/157164461171?_skw=solenoid+valve&amp;itmmeta=01K9WJFKZA4FQYDNT6NJ559MTZ&amp;hash=item2497bb5c73:g:nmIAAeSwLO9ocikZ&amp;itmprp=enc%3AAQAKAAAA8FkggFvd1GGDu0w3yXCmi1fm%2BSytAMvgYgFNBcirNbpiNcKed03nUX--JlZqGOsOYdmQqmjMDb3keCTQmMoNLKDjsIC33MdiwSuFn8YWXK6fydiTun2qMUEWXa61xK9YqbPxjfJmuCJTDlVmnRQdDDIO6sl89b4HiODD4VTtgO0oFGNS2rWuCu5yVZdjVKLIYErA7mdJOrXwhcsxvM56zy7QbzSAEBBK9nMqHFqPlYEYlOrLvPPHc16BZVZ9%2B%2BH7mC4eOnsDxxV6idZrzj85b%2BH%2FQHUNQUmz4XY8TMs2xtQVkrP6EQD0TovcKM9QljKVqg%3D%3D%7Ctkp%3ABk9SR_y_vpLPZg" TargetMode="External"/><Relationship Id="rId9" Type="http://schemas.openxmlformats.org/officeDocument/2006/relationships/hyperlink" Target="https://www.ebay.co.uk/itm/317031909654?_skw=water+pump&amp;itmmeta=01K9WK157EJMAS72ZDMAVWABKV&amp;hash=item49d0930916:g:sQMAAeSwHQloXRTq&amp;itmprp=enc%3AAQAKAAAAwFkggFvd1GGDu0w3yXCmi1eKKM0aI%2BR%2BpRpmlOczC7ToXMDQr4gAF9yVHNfA6FQ59xavYiDC5siKoKgw9BdcsKxzeEzRI2Q1tecGf2%2BRNG9%2BMyQd%2B%2FsFkxdpsRNp7jlaYBhWiM1C4Al6klKF2Rr32etOgtDYnHKYEi5lAeEy%2FXffXmaPL7Kn9wtFS2vHcAprqroK1tF1JyOKhAHa9TOlCwGG5cbGOxwwvWcDmR7jPaRSL11mi29L48ilp5o7onImJQ%3D%3D%7Ctkp%3ABk9SR6bUhJPPZ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FA2BC-95D1-4BFC-A97F-478F653543E5}">
  <dimension ref="A1:L21"/>
  <sheetViews>
    <sheetView tabSelected="1" workbookViewId="0">
      <selection activeCell="C9" sqref="C9"/>
    </sheetView>
  </sheetViews>
  <sheetFormatPr defaultColWidth="20.7109375" defaultRowHeight="24.95" customHeight="1" x14ac:dyDescent="0.25"/>
  <cols>
    <col min="1" max="2" width="20.7109375" style="3"/>
    <col min="3" max="3" width="25.7109375" style="3" customWidth="1"/>
    <col min="4" max="16384" width="20.7109375" style="3"/>
  </cols>
  <sheetData>
    <row r="1" spans="1:12" customFormat="1" ht="24.95" customHeight="1" x14ac:dyDescent="0.25">
      <c r="A1" s="13" t="s">
        <v>44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3"/>
    </row>
    <row r="2" spans="1:12" customFormat="1" ht="24.95" customHeight="1" x14ac:dyDescent="0.25">
      <c r="A2" s="13" t="s">
        <v>12</v>
      </c>
      <c r="B2" s="13"/>
      <c r="C2" s="13"/>
      <c r="D2" s="13"/>
      <c r="E2" s="13" t="s">
        <v>19</v>
      </c>
      <c r="F2" s="13"/>
      <c r="G2" s="13"/>
      <c r="H2" s="13"/>
      <c r="I2" s="13"/>
      <c r="J2" s="13"/>
      <c r="K2" s="13"/>
      <c r="L2" s="3"/>
    </row>
    <row r="3" spans="1:12" customFormat="1" ht="24.95" customHeight="1" x14ac:dyDescent="0.25">
      <c r="A3" s="2" t="s">
        <v>0</v>
      </c>
      <c r="B3" s="2" t="s">
        <v>1</v>
      </c>
      <c r="C3" s="2" t="s">
        <v>49</v>
      </c>
      <c r="D3" s="2" t="s">
        <v>2</v>
      </c>
      <c r="E3" s="2" t="s">
        <v>20</v>
      </c>
      <c r="F3" s="2" t="s">
        <v>8</v>
      </c>
      <c r="G3" s="2" t="s">
        <v>5</v>
      </c>
      <c r="H3" s="2" t="s">
        <v>21</v>
      </c>
      <c r="I3" s="2" t="s">
        <v>9</v>
      </c>
      <c r="J3" s="2" t="s">
        <v>25</v>
      </c>
      <c r="K3" s="2" t="s">
        <v>3</v>
      </c>
      <c r="L3" s="3"/>
    </row>
    <row r="4" spans="1:12" ht="24.95" customHeight="1" x14ac:dyDescent="0.25">
      <c r="A4" s="3" t="s">
        <v>15</v>
      </c>
      <c r="B4" s="3" t="s">
        <v>47</v>
      </c>
      <c r="D4" s="1">
        <v>1</v>
      </c>
      <c r="E4" s="6">
        <v>5.95</v>
      </c>
      <c r="F4" s="6">
        <v>0</v>
      </c>
      <c r="G4" s="10">
        <v>1</v>
      </c>
      <c r="H4" s="9">
        <v>1</v>
      </c>
      <c r="I4" s="6">
        <f>Table13[[#This Row],[Price]]*Table13[[#This Row],[Needed to Buy]]+Table13[[#This Row],[Shipping]]</f>
        <v>5.95</v>
      </c>
      <c r="J4" s="11" t="s">
        <v>48</v>
      </c>
      <c r="K4" s="4" t="s">
        <v>36</v>
      </c>
    </row>
    <row r="5" spans="1:12" ht="24.95" customHeight="1" x14ac:dyDescent="0.25">
      <c r="A5" s="3" t="s">
        <v>13</v>
      </c>
      <c r="B5" s="3" t="s">
        <v>14</v>
      </c>
      <c r="D5" s="1" t="s">
        <v>22</v>
      </c>
      <c r="E5" s="6">
        <v>9.99</v>
      </c>
      <c r="F5" s="6">
        <v>0</v>
      </c>
      <c r="G5" s="10">
        <v>420</v>
      </c>
      <c r="H5" s="9">
        <v>1</v>
      </c>
      <c r="I5" s="6">
        <f>Table13[[#This Row],[Price]]*Table13[[#This Row],[Needed to Buy]]+Table13[[#This Row],[Shipping]]</f>
        <v>9.99</v>
      </c>
      <c r="J5" s="11">
        <v>1</v>
      </c>
      <c r="K5" s="4" t="s">
        <v>4</v>
      </c>
    </row>
    <row r="6" spans="1:12" ht="24.95" customHeight="1" x14ac:dyDescent="0.25">
      <c r="A6" s="3" t="s">
        <v>16</v>
      </c>
      <c r="B6" s="3" t="s">
        <v>17</v>
      </c>
      <c r="D6" s="1">
        <v>1</v>
      </c>
      <c r="E6" s="6">
        <v>2.99</v>
      </c>
      <c r="F6" s="6">
        <v>0</v>
      </c>
      <c r="G6" s="10">
        <v>5</v>
      </c>
      <c r="H6" s="9">
        <v>1</v>
      </c>
      <c r="I6" s="6">
        <f>Table13[[#This Row],[Price]]*Table13[[#This Row],[Needed to Buy]]+Table13[[#This Row],[Shipping]]</f>
        <v>2.99</v>
      </c>
      <c r="J6" s="11" t="s">
        <v>24</v>
      </c>
      <c r="K6" s="4" t="s">
        <v>36</v>
      </c>
    </row>
    <row r="7" spans="1:12" ht="24.95" customHeight="1" x14ac:dyDescent="0.25">
      <c r="A7" s="3" t="s">
        <v>7</v>
      </c>
      <c r="B7" s="3" t="s">
        <v>29</v>
      </c>
      <c r="D7" s="1">
        <v>1</v>
      </c>
      <c r="E7" s="6">
        <v>3.39</v>
      </c>
      <c r="F7" s="6">
        <v>0</v>
      </c>
      <c r="G7" s="10">
        <v>1</v>
      </c>
      <c r="H7" s="9">
        <v>1</v>
      </c>
      <c r="I7" s="6">
        <f>Table13[[#This Row],[Price]]*Table13[[#This Row],[Needed to Buy]]+Table13[[#This Row],[Shipping]]</f>
        <v>3.39</v>
      </c>
      <c r="J7" s="11" t="s">
        <v>23</v>
      </c>
      <c r="K7" s="4" t="s">
        <v>36</v>
      </c>
    </row>
    <row r="8" spans="1:12" ht="24.95" customHeight="1" x14ac:dyDescent="0.25">
      <c r="A8" s="3" t="s">
        <v>18</v>
      </c>
      <c r="B8" s="3" t="s">
        <v>10</v>
      </c>
      <c r="C8" s="3" t="s">
        <v>50</v>
      </c>
      <c r="D8" s="1">
        <v>5</v>
      </c>
      <c r="E8" s="6">
        <v>4.62</v>
      </c>
      <c r="F8" s="6">
        <v>1.03</v>
      </c>
      <c r="G8" s="10">
        <v>5</v>
      </c>
      <c r="H8" s="9">
        <v>1</v>
      </c>
      <c r="I8" s="6">
        <f>Table13[[#This Row],[Price]]*Table13[[#This Row],[Needed to Buy]]+Table13[[#This Row],[Shipping]]</f>
        <v>5.65</v>
      </c>
      <c r="J8" s="11" t="s">
        <v>26</v>
      </c>
      <c r="K8" s="4" t="s">
        <v>36</v>
      </c>
    </row>
    <row r="9" spans="1:12" ht="24.95" customHeight="1" x14ac:dyDescent="0.25">
      <c r="A9" s="3" t="s">
        <v>27</v>
      </c>
      <c r="B9" s="3" t="s">
        <v>28</v>
      </c>
      <c r="D9" s="1">
        <v>5</v>
      </c>
      <c r="E9" s="6">
        <v>2.86</v>
      </c>
      <c r="F9" s="6">
        <v>0</v>
      </c>
      <c r="G9" s="10">
        <v>10</v>
      </c>
      <c r="H9" s="9">
        <v>1</v>
      </c>
      <c r="I9" s="6">
        <f>Table13[[#This Row],[Price]]*Table13[[#This Row],[Needed to Buy]]+Table13[[#This Row],[Shipping]]</f>
        <v>2.86</v>
      </c>
      <c r="J9" s="11" t="s">
        <v>23</v>
      </c>
      <c r="K9" s="4" t="s">
        <v>36</v>
      </c>
    </row>
    <row r="10" spans="1:12" ht="24.95" customHeight="1" x14ac:dyDescent="0.25">
      <c r="A10" s="3" t="s">
        <v>30</v>
      </c>
      <c r="B10" s="3" t="s">
        <v>32</v>
      </c>
      <c r="D10" s="1">
        <v>2</v>
      </c>
      <c r="E10" s="6">
        <v>4.99</v>
      </c>
      <c r="F10" s="6">
        <v>0</v>
      </c>
      <c r="G10" s="10">
        <v>20</v>
      </c>
      <c r="H10" s="9">
        <v>1</v>
      </c>
      <c r="I10" s="6">
        <f>Table13[[#This Row],[Price]]*Table13[[#This Row],[Needed to Buy]]+Table13[[#This Row],[Shipping]]</f>
        <v>4.99</v>
      </c>
      <c r="J10" s="11" t="s">
        <v>31</v>
      </c>
      <c r="K10" s="4" t="s">
        <v>4</v>
      </c>
    </row>
    <row r="11" spans="1:12" ht="24.95" customHeight="1" x14ac:dyDescent="0.25">
      <c r="A11" s="3" t="s">
        <v>33</v>
      </c>
      <c r="B11" s="1" t="s">
        <v>34</v>
      </c>
      <c r="C11" s="1"/>
      <c r="D11" s="1">
        <v>2</v>
      </c>
      <c r="E11" s="6">
        <v>7.29</v>
      </c>
      <c r="F11" s="6">
        <v>0</v>
      </c>
      <c r="G11" s="10">
        <v>1</v>
      </c>
      <c r="H11" s="9">
        <v>2</v>
      </c>
      <c r="I11" s="6">
        <f>Table13[[#This Row],[Price]]*Table13[[#This Row],[Needed to Buy]]+Table13[[#This Row],[Shipping]]</f>
        <v>14.58</v>
      </c>
      <c r="J11" s="11" t="s">
        <v>35</v>
      </c>
      <c r="K11" s="4" t="s">
        <v>36</v>
      </c>
    </row>
    <row r="12" spans="1:12" ht="24.95" customHeight="1" x14ac:dyDescent="0.25">
      <c r="A12" s="3" t="s">
        <v>11</v>
      </c>
      <c r="B12" s="1" t="s">
        <v>34</v>
      </c>
      <c r="C12" s="1"/>
      <c r="D12" s="1">
        <v>1</v>
      </c>
      <c r="E12" s="6">
        <v>6.35</v>
      </c>
      <c r="F12" s="6">
        <v>0</v>
      </c>
      <c r="G12" s="10">
        <v>1</v>
      </c>
      <c r="H12" s="9">
        <v>1</v>
      </c>
      <c r="I12" s="7">
        <f>Table13[[#This Row],[Price]]*Table13[[#This Row],[Needed to Buy]]+Table13[[#This Row],[Shipping]]</f>
        <v>6.35</v>
      </c>
      <c r="J12" s="11" t="s">
        <v>23</v>
      </c>
      <c r="K12" s="4" t="s">
        <v>36</v>
      </c>
    </row>
    <row r="13" spans="1:12" ht="24.95" customHeight="1" x14ac:dyDescent="0.25">
      <c r="A13" s="3" t="s">
        <v>37</v>
      </c>
      <c r="B13" s="1" t="s">
        <v>34</v>
      </c>
      <c r="C13" s="1"/>
      <c r="D13" s="1">
        <v>6</v>
      </c>
      <c r="E13" s="6">
        <v>0</v>
      </c>
      <c r="F13" s="6">
        <v>0</v>
      </c>
      <c r="G13" s="10"/>
      <c r="H13" s="9"/>
      <c r="I13" s="7">
        <f>Table13[[#This Row],[Price]]*Table13[[#This Row],[Needed to Buy]]+Table13[[#This Row],[Shipping]]</f>
        <v>0</v>
      </c>
      <c r="J13" s="11"/>
      <c r="K13" s="12"/>
    </row>
    <row r="14" spans="1:12" ht="24.95" customHeight="1" x14ac:dyDescent="0.25">
      <c r="A14" s="1" t="s">
        <v>34</v>
      </c>
      <c r="D14" s="1"/>
      <c r="E14" s="6"/>
      <c r="F14" s="6"/>
      <c r="G14" s="10"/>
      <c r="H14" s="9"/>
      <c r="I14" s="7"/>
      <c r="J14" s="11"/>
      <c r="K14" s="4"/>
    </row>
    <row r="15" spans="1:12" ht="24.95" customHeight="1" x14ac:dyDescent="0.25">
      <c r="A15" s="3" t="s">
        <v>41</v>
      </c>
      <c r="B15" s="1" t="s">
        <v>34</v>
      </c>
      <c r="C15" s="3" t="s">
        <v>42</v>
      </c>
      <c r="D15" s="1">
        <v>3</v>
      </c>
      <c r="E15" s="6">
        <v>0</v>
      </c>
      <c r="F15" s="6">
        <v>0</v>
      </c>
      <c r="G15" s="10"/>
      <c r="H15" s="9"/>
      <c r="I15" s="7">
        <f>Table13[[#This Row],[Price]]*Table13[[#This Row],[Needed to Buy]]+Table13[[#This Row],[Shipping]]</f>
        <v>0</v>
      </c>
      <c r="J15" s="11" t="s">
        <v>46</v>
      </c>
      <c r="K15" s="4"/>
    </row>
    <row r="16" spans="1:12" ht="24.95" customHeight="1" x14ac:dyDescent="0.25">
      <c r="A16" s="3" t="s">
        <v>43</v>
      </c>
      <c r="B16" s="1" t="s">
        <v>34</v>
      </c>
      <c r="C16" s="3" t="s">
        <v>45</v>
      </c>
      <c r="D16" s="1">
        <v>4</v>
      </c>
      <c r="E16" s="6">
        <v>3.85</v>
      </c>
      <c r="F16" s="6">
        <v>0</v>
      </c>
      <c r="G16" s="10">
        <v>10</v>
      </c>
      <c r="H16" s="9">
        <v>1</v>
      </c>
      <c r="I16" s="7">
        <f>Table13[[#This Row],[Price]]*Table13[[#This Row],[Needed to Buy]]+Table13[[#This Row],[Shipping]]</f>
        <v>3.85</v>
      </c>
      <c r="J16" s="11" t="s">
        <v>35</v>
      </c>
      <c r="K16" s="4" t="s">
        <v>36</v>
      </c>
    </row>
    <row r="17" spans="1:11" ht="24.95" customHeight="1" x14ac:dyDescent="0.25">
      <c r="A17" s="1" t="s">
        <v>34</v>
      </c>
      <c r="D17" s="1"/>
      <c r="E17" s="6"/>
      <c r="F17" s="6"/>
      <c r="G17" s="10"/>
      <c r="H17" s="9"/>
      <c r="I17" s="7"/>
      <c r="J17" s="11"/>
      <c r="K17" s="4"/>
    </row>
    <row r="18" spans="1:11" ht="24.95" customHeight="1" x14ac:dyDescent="0.25">
      <c r="A18" s="3" t="s">
        <v>38</v>
      </c>
      <c r="B18" s="1" t="s">
        <v>34</v>
      </c>
      <c r="D18" s="1"/>
      <c r="E18" s="6">
        <v>0</v>
      </c>
      <c r="F18" s="6">
        <v>0</v>
      </c>
      <c r="G18" s="10"/>
      <c r="H18" s="9"/>
      <c r="I18" s="7">
        <f>Table13[[#This Row],[Price]]*Table13[[#This Row],[Needed to Buy]]+Table13[[#This Row],[Shipping]]</f>
        <v>0</v>
      </c>
      <c r="J18" s="11"/>
      <c r="K18" s="4"/>
    </row>
    <row r="19" spans="1:11" ht="24.95" customHeight="1" x14ac:dyDescent="0.25">
      <c r="A19" s="3" t="s">
        <v>39</v>
      </c>
      <c r="B19" s="1" t="s">
        <v>34</v>
      </c>
      <c r="D19" s="1"/>
      <c r="E19" s="6">
        <v>0</v>
      </c>
      <c r="F19" s="6">
        <v>0</v>
      </c>
      <c r="G19" s="10"/>
      <c r="H19" s="9"/>
      <c r="I19" s="7">
        <f>Table13[[#This Row],[Price]]*Table13[[#This Row],[Needed to Buy]]+Table13[[#This Row],[Shipping]]</f>
        <v>0</v>
      </c>
      <c r="J19" s="11"/>
      <c r="K19" s="4"/>
    </row>
    <row r="20" spans="1:11" ht="24.95" customHeight="1" x14ac:dyDescent="0.25">
      <c r="A20" s="3" t="s">
        <v>40</v>
      </c>
      <c r="B20" s="1" t="s">
        <v>34</v>
      </c>
      <c r="D20" s="1"/>
      <c r="E20" s="6">
        <v>0</v>
      </c>
      <c r="F20" s="6">
        <v>0</v>
      </c>
      <c r="G20" s="10"/>
      <c r="H20" s="9"/>
      <c r="I20" s="7">
        <f>Table13[[#This Row],[Price]]*Table13[[#This Row],[Needed to Buy]]+Table13[[#This Row],[Shipping]]</f>
        <v>0</v>
      </c>
      <c r="J20" s="11"/>
      <c r="K20" s="4"/>
    </row>
    <row r="21" spans="1:11" ht="24.95" customHeight="1" x14ac:dyDescent="0.25">
      <c r="A21" s="3" t="s">
        <v>6</v>
      </c>
      <c r="D21"/>
      <c r="E21" s="1"/>
      <c r="F21" s="1"/>
      <c r="G21" s="1"/>
      <c r="H21" s="1"/>
      <c r="I21" s="8">
        <f>SUM(Table13[Total Price])</f>
        <v>60.6</v>
      </c>
      <c r="J21" s="8"/>
      <c r="K21" s="5"/>
    </row>
  </sheetData>
  <mergeCells count="3">
    <mergeCell ref="A1:K1"/>
    <mergeCell ref="A2:D2"/>
    <mergeCell ref="E2:K2"/>
  </mergeCells>
  <hyperlinks>
    <hyperlink ref="K4" r:id="rId1" xr:uid="{F0EC4B40-B7F9-4E7A-9381-4D445791A8F3}"/>
    <hyperlink ref="K10" r:id="rId2" xr:uid="{C8CF97CE-69FE-4D20-ADE3-87B9F2D4B942}"/>
    <hyperlink ref="K5" r:id="rId3" xr:uid="{EA26A44A-BABD-44C0-8456-8EEFE8D602C2}"/>
    <hyperlink ref="K11" r:id="rId4" xr:uid="{61E0F56C-82AA-4047-A8D3-B8CFC352553A}"/>
    <hyperlink ref="K6" r:id="rId5" xr:uid="{9BA54015-9A07-4A0B-9914-7F162A019A7F}"/>
    <hyperlink ref="K7" r:id="rId6" xr:uid="{54D65BA1-1066-4EA1-9FDF-9C229F0099D8}"/>
    <hyperlink ref="K8" r:id="rId7" xr:uid="{CF1FEFE9-21B4-4964-B0FC-D03FA48848D5}"/>
    <hyperlink ref="K9" r:id="rId8" xr:uid="{0A09FFB2-862F-4D18-9BBD-72ECBDE3AE7C}"/>
    <hyperlink ref="K12" r:id="rId9" xr:uid="{2C1CC6E2-D753-4ABC-9C31-4483EE61FC7E}"/>
    <hyperlink ref="K16" r:id="rId10" xr:uid="{AE31F1FD-339E-4C5C-872E-AF3A0FBE3889}"/>
  </hyperlinks>
  <pageMargins left="0.7" right="0.7" top="0.75" bottom="0.75" header="0.3" footer="0.3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component-orders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Dixon</dc:creator>
  <cp:lastModifiedBy>Samuel Dixon</cp:lastModifiedBy>
  <dcterms:created xsi:type="dcterms:W3CDTF">2025-08-04T12:49:31Z</dcterms:created>
  <dcterms:modified xsi:type="dcterms:W3CDTF">2025-11-15T14:08:06Z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559e1-065f-48bd-9ddf-4bc014495b9d_Enabled">
    <vt:lpwstr>true</vt:lpwstr>
  </property>
  <property fmtid="{D5CDD505-2E9C-101B-9397-08002B2CF9AE}" pid="3" name="MSIP_Label_ce7559e1-065f-48bd-9ddf-4bc014495b9d_SetDate">
    <vt:lpwstr>2025-08-04T12:49:46Z</vt:lpwstr>
  </property>
  <property fmtid="{D5CDD505-2E9C-101B-9397-08002B2CF9AE}" pid="4" name="MSIP_Label_ce7559e1-065f-48bd-9ddf-4bc014495b9d_Method">
    <vt:lpwstr>Standard</vt:lpwstr>
  </property>
  <property fmtid="{D5CDD505-2E9C-101B-9397-08002B2CF9AE}" pid="5" name="MSIP_Label_ce7559e1-065f-48bd-9ddf-4bc014495b9d_Name">
    <vt:lpwstr>defa4170-0d19-0005-0004-bc88714345d2</vt:lpwstr>
  </property>
  <property fmtid="{D5CDD505-2E9C-101B-9397-08002B2CF9AE}" pid="6" name="MSIP_Label_ce7559e1-065f-48bd-9ddf-4bc014495b9d_SiteId">
    <vt:lpwstr>854b4310-0dbf-4241-ae41-4df0a4f8db92</vt:lpwstr>
  </property>
  <property fmtid="{D5CDD505-2E9C-101B-9397-08002B2CF9AE}" pid="7" name="MSIP_Label_ce7559e1-065f-48bd-9ddf-4bc014495b9d_ActionId">
    <vt:lpwstr>0f5139c8-e7ce-4968-8182-2ce4956cab68</vt:lpwstr>
  </property>
  <property fmtid="{D5CDD505-2E9C-101B-9397-08002B2CF9AE}" pid="8" name="MSIP_Label_ce7559e1-065f-48bd-9ddf-4bc014495b9d_ContentBits">
    <vt:lpwstr>0</vt:lpwstr>
  </property>
  <property fmtid="{D5CDD505-2E9C-101B-9397-08002B2CF9AE}" pid="9" name="MSIP_Label_ce7559e1-065f-48bd-9ddf-4bc014495b9d_Tag">
    <vt:lpwstr>10, 3, 0, 1</vt:lpwstr>
  </property>
</Properties>
</file>