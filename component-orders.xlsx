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primary\auto-water-distribution-system\"/>
    </mc:Choice>
  </mc:AlternateContent>
  <xr:revisionPtr revIDLastSave="0" documentId="13_ncr:1_{9DBF5C47-BA4D-4B54-B017-FD47E7114F3B}" xr6:coauthVersionLast="47" xr6:coauthVersionMax="47" xr10:uidLastSave="{00000000-0000-0000-0000-000000000000}"/>
  <bookViews>
    <workbookView xWindow="-120" yWindow="-120" windowWidth="29040" windowHeight="15840" xr2:uid="{38EBA7E1-48E4-4552-B242-4B8FFED322BD}"/>
  </bookViews>
  <sheets>
    <sheet name="component_order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J12" i="1"/>
  <c r="H5" i="1"/>
  <c r="H4" i="1"/>
  <c r="H3" i="1"/>
  <c r="H6" i="1"/>
  <c r="H12" i="1" l="1"/>
</calcChain>
</file>

<file path=xl/sharedStrings.xml><?xml version="1.0" encoding="utf-8"?>
<sst xmlns="http://schemas.openxmlformats.org/spreadsheetml/2006/main" count="53" uniqueCount="39">
  <si>
    <t>Component Orders</t>
  </si>
  <si>
    <t>Name</t>
  </si>
  <si>
    <t>Description</t>
  </si>
  <si>
    <t>Part Number</t>
  </si>
  <si>
    <t>Quantity</t>
  </si>
  <si>
    <t>Available</t>
  </si>
  <si>
    <t>Link</t>
  </si>
  <si>
    <t>ESP32 Dev Kit C</t>
  </si>
  <si>
    <t>2PCS ESP32 Type C Development Board, ESP32-DevKitC-V4 WiFi WLAN CP2102 ESP32-WROOM-32D</t>
  </si>
  <si>
    <t xml:space="preserve">ESP32-DevKitC-V4 </t>
  </si>
  <si>
    <t>Amazon</t>
  </si>
  <si>
    <t>-</t>
  </si>
  <si>
    <t>PC's</t>
  </si>
  <si>
    <t>Y</t>
  </si>
  <si>
    <t>Total</t>
  </si>
  <si>
    <t>Headers Kit</t>
  </si>
  <si>
    <t>Ebay</t>
  </si>
  <si>
    <t xml:space="preserve">2.54mm JST-XHP 2/3/4/5/6 Pin Housing Male/Female Pin Header </t>
  </si>
  <si>
    <t xml:space="preserve">JST-XHP 2/3/4/5/6 </t>
  </si>
  <si>
    <t>3:8 Line Decoder</t>
  </si>
  <si>
    <t>74AC138PC</t>
  </si>
  <si>
    <t>74AC138PC 3-to-8 Line Decoder/Demux DIP16 NS, LOW Output</t>
  </si>
  <si>
    <t>Temperature Sensor</t>
  </si>
  <si>
    <t>Shipping</t>
  </si>
  <si>
    <t>Total Price</t>
  </si>
  <si>
    <t>Unit Price</t>
  </si>
  <si>
    <t>DHT22 Digital Temperature &amp; Humidity Sensor</t>
  </si>
  <si>
    <t>DHT22</t>
  </si>
  <si>
    <t>Buck Converter</t>
  </si>
  <si>
    <t>MP1584EN</t>
  </si>
  <si>
    <t>DollaTek 5Pcs MP1584EN ultra Small DC-DC 3A power Step-Down Adjustable Module Buck Converter, 4.5V-28V to 0.8V-20V</t>
  </si>
  <si>
    <t>SRD-03VDC-SL-C</t>
  </si>
  <si>
    <t>3V 10A Mini Songle SPDT PCB Relay 5 Pin T73 DC SRD-DC-SL-C</t>
  </si>
  <si>
    <t>Relay ?</t>
  </si>
  <si>
    <t>Perf Board</t>
  </si>
  <si>
    <t>GTIWUNG 12Pcs Universal PCB Board, Double Side Prototyping Board, Prototype Board Kit, Circuit Boards Perfboards for DIY Soldering, 5cmx7cm</t>
  </si>
  <si>
    <t>Water Valve Solenoid</t>
  </si>
  <si>
    <t xml:space="preserve">DC 12V Plastic Normally Closed Electric Solenoid Valve </t>
  </si>
  <si>
    <t>Water Pump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</si>
</sst>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center"/>
    </xf>
    <xf numFmtId="44" fontId="0" fillId="0" borderId="0" xfId="2" applyFont="1" applyAlignment="1">
      <alignment horizontal="center" vertical="center"/>
    </xf>
    <xf numFmtId="44" fontId="0" fillId="0" borderId="0" xfId="2" applyFont="1" applyAlignment="1">
      <alignment horizontal="left" vertical="center"/>
    </xf>
    <xf numFmtId="0" fontId="1" fillId="0" borderId="0" xfId="0" applyFont="1" applyAlignment="1">
      <alignment horizontal="left" vertical="center" indent="2"/>
    </xf>
    <xf numFmtId="44" fontId="0" fillId="0" borderId="0" xfId="0" applyNumberFormat="1" applyFont="1" applyAlignment="1">
      <alignment horizontal="center" vertical="center"/>
    </xf>
  </cellXfs>
  <cellStyles count="3">
    <cellStyle name="Currency" xfId="2" builtinId="4"/>
    <cellStyle name="Hyperlink" xfId="1" builtinId="8"/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£&quot;* #,##0.00_-;\-&quot;£&quot;* #,##0.00_-;_-&quot;£&quot;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left" vertical="top" textRotation="0" wrapText="1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left" vertical="top" textRotation="0" wrapText="1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F31172-D701-43B3-B363-E7128DEE1A5A}" name="Table1" displayName="Table1" ref="A2:J12" totalsRowCount="1" headerRowDxfId="18" dataDxfId="17">
  <autoFilter ref="A2:J11" xr:uid="{E7F31172-D701-43B3-B363-E7128DEE1A5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8187F59D-9FF7-4110-A64E-9B602F8494C1}" name="Name" totalsRowLabel="Total" dataDxfId="16" totalsRowDxfId="8"/>
    <tableColumn id="2" xr3:uid="{98DC9CDB-5AE0-4308-954A-E25521F577DB}" name="Description" dataDxfId="15" totalsRowDxfId="7"/>
    <tableColumn id="3" xr3:uid="{B5E96ECF-DBD1-401B-89F8-4AE3DB57429C}" name="Part Number" dataDxfId="14" totalsRowDxfId="6"/>
    <tableColumn id="5" xr3:uid="{95103F7F-3225-40FB-B1B3-D8FD22F49929}" name="Quantity"/>
    <tableColumn id="6" xr3:uid="{ECB5D71A-790B-4033-9785-33E11B32E1F0}" name="PC's" dataDxfId="13" totalsRowDxfId="5"/>
    <tableColumn id="7" xr3:uid="{13449F24-C002-4466-ACE7-45AAACCFEF21}" name="Unit Price" dataDxfId="12" totalsRowDxfId="4" dataCellStyle="Currency"/>
    <tableColumn id="11" xr3:uid="{77B30D43-AA0B-412F-9F65-606AEF85FBE8}" name="Shipping" dataDxfId="11" totalsRowDxfId="3" dataCellStyle="Currency"/>
    <tableColumn id="8" xr3:uid="{71DCFE52-9A73-40C1-92FD-CA4DFAF27557}" name="Total Price" totalsRowFunction="custom" totalsRowDxfId="2" dataCellStyle="Currency">
      <calculatedColumnFormula>Table1[[#This Row],[Unit Price]]*Table1[[#This Row],[Quantity]]+Table1[[#This Row],[Shipping]]</calculatedColumnFormula>
      <totalsRowFormula>SUM(Table1[Total Price])</totalsRowFormula>
    </tableColumn>
    <tableColumn id="9" xr3:uid="{A3793331-9937-4067-83DA-9DD0C8C5734E}" name="Available" dataDxfId="10" totalsRowDxfId="1"/>
    <tableColumn id="10" xr3:uid="{4884CD98-B102-46CC-8CBE-0943ABE8006B}" name="Link" totalsRowFunction="count" dataDxfId="9" totalsRowDxfId="0" dataCellStyle="Hyperlink"/>
  </tableColumns>
  <tableStyleInfo name="TableStyleLight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bay.co.uk/itm/187345912283?_skw=water+valve+solenoid&amp;itmmeta=01K4HSP8BK7X5EJ9J85S51MW79&amp;hash=item2b9eafc1db:g:u40AAOSwL-li1lfQ&amp;itmprp=enc%3AAQAKAAAA0FkggFvd1GGDu0w3yXCmi1cLtHgAPi%2ByLz3dgcst7RN7lnYDSdrKvgZRSRix5VfsEuAr4UOYLEmUe20v69%2BrEXztfPPGumD9KLEISUXw0aAmxNkkm0b9OTaZXtfRqjyf5%2F6OjATm6RNgczS7IojswYPeVTvqWgE5ebM2WvtRUlPPE0%2BT3i%2FnonQDfiD8IRqhR%2FBGl5q0DkQzFMrgEtswnokp9sV9FNTpSneKMAOjhBSWcCADSA0c6y%2BJCo8UbocN%2FUdvQL3CzItGa%2F3M8Ia%2F7sE%3D%7Ctkp%3ABk9SR5CG2bmkZg&amp;pfm=0" TargetMode="External"/><Relationship Id="rId3" Type="http://schemas.openxmlformats.org/officeDocument/2006/relationships/hyperlink" Target="https://www.ebay.co.uk/itm/126571248675?_skw=3+to+8+line+decoder&amp;itmmeta=01K4HP17B0EZEENCZDZ34HW8NR&amp;hash=item1d783bfc23:g:-j8AAOSwE8Nmj3uX&amp;itmprp=enc%3AAQAKAAAA0FkggFvd1GGDu0w3yXCmi1fSAqmkXTsMpjWP2Y3NHVV7k82aDBaOCW9XR23mIaCfeIC6g949PrbTMdb1RRst4dX%2FIPk1QrFuLTbv4SUhZosd8seFzex%2FXxjs22MG5W5pBAV1LSf1wqUTAN9SyEh7tK2nOaObMJDiAJfm%2Blb89dNRHPiFHwKtsAFQL80WFYyAPA7m2XMfNStWvZd1XQ5wVv2oV7DbTDxSN7GUN%2F2qT8qdYGOu0PGdaFJPnxK%2BCOcATSegvKJbohU5rgF71hP36G0%3D%7Ctkp%3ABk9SR9b1hLakZg&amp;pfm=0" TargetMode="External"/><Relationship Id="rId7" Type="http://schemas.openxmlformats.org/officeDocument/2006/relationships/hyperlink" Target="https://www.amazon.co.uk/GTIWUNG-Universal-Prototyping-Prototype-Perfboards/dp/B08JCJ4QP7?crid=2MMRP9MI3RU7G&amp;dib=eyJ2IjoiMSJ9.6ayD_deRYkItRMceaIHjEcswNew7csXDmerhbPUAGslQP-KUQhGSlEnVphOev3KPPAS2x2fPkT-98nQkglKQd-e_mNhvzMZj5t47uIFnRNjOLA58nKhMhXcyR6dy044B8mpaNblBW81VYp181UKqJXmYGGPNTSPFZLxgf5yPGF4oLB5TMbZ-IvFnogIn56YG_02Q8mF7pxSXv4x4BQt5v7UowWk2IPj8tWlRFX2NQaSEBoBrDj-bPNZqk97L_8a25p3ypjIv4_XQMP4PnEuxsucFssrGGzJIt16ctRjdy7A.ROAkrHTnzPEhvNDoKncebmBf-McODjMcF567qJ9Qj6g&amp;dib_tag=se&amp;keywords=perf%2Bboard&amp;qid=1757238039&amp;sprefix=perf%2Bboard%2Caps%2C114&amp;sr=8-6&amp;th=1" TargetMode="External"/><Relationship Id="rId2" Type="http://schemas.openxmlformats.org/officeDocument/2006/relationships/hyperlink" Target="https://www.ebay.co.uk/itm/134781932915?var=434274031443" TargetMode="External"/><Relationship Id="rId1" Type="http://schemas.openxmlformats.org/officeDocument/2006/relationships/hyperlink" Target="https://www.amazon.co.uk/ESP32-Type-Development-Board-ESP32-DevKitC-V4/dp/B0CMZXCRXC?dib=eyJ2IjoiMSJ9.AUielrUTeQoioOrrJYwpVolvw2sC6kX-BtqYdF9fSJP3nFuibkzHdSLt2kgnhbdFwkCM93tKB3WOKPP-E9bKorbG_hNpV-SvOiTMhx8MbUMGHmDIgLJGOXDo5PhMfRbomFYLiTeAcXpoWjTOwdSdHS0afN6f5TsS2gj2ktVk8SY5ZqrPmv5SC5MSJex7Q5Vom_7Ee37GYP_CaHBDUHKzFJsU7TlJ4B_Kn_vLojRAHjk.grxLZWkOwa6EdjnvD69tKzFiwMNDMqicvfoJU22zfyk&amp;dib_tag=se&amp;keywords=esp32+devkitc&amp;qid=1754312282&amp;sr=8-7" TargetMode="External"/><Relationship Id="rId6" Type="http://schemas.openxmlformats.org/officeDocument/2006/relationships/hyperlink" Target="https://www.ebay.co.uk/itm/145663093657?_skw=sdr-3v3dc-sl-c&amp;itmmeta=01K4HR42TXMC17K7KKQDKSSBWW&amp;hash=item21ea326b99%3Ag%3ADiEAAOSwPCtbZB7q&amp;itmprp=enc%3AAQAKAAAA8FkggFvd1GGDu0w3yXCmi1fooAD0xpFl5mGINGTT83b0zXH5jT%2BEfjWD7ZNLm4L%2FVM1l45M8yCP09kcGb4lLFVoByxlINvtvUZ%2B%2F4AckzdNjt2adrGJz78wZYL4Zre%2FFaFUEKKZ9ajWKekY6M5sArptk2XTRz1Ov3CkkKiMpZJoYntTag8zisaZdGT%2F9gfZqc4vpc0ehwS4ylA66Kp6UHMyIesMUx3PE5GAeRMCMfEajwInG9z0BpLuQl9cZsaeGAWefTMXCwQVBhWd%2Freq%2FQyM6YURU1XcT%2BZsF7AZlGAlX%2B4yha0YBD2mRCCRlPBZBaQ%3D%3D%7Ctkp%3ABFBMzK2QuKRm&amp;pfm=0&amp;var=444792082845" TargetMode="External"/><Relationship Id="rId5" Type="http://schemas.openxmlformats.org/officeDocument/2006/relationships/hyperlink" Target="https://www.amazon.co.uk/DollaTek-MP1584EN-Step-Down-Adjustable-Converter/dp/B07DJ5HZ7G?crid=IG3DZGB9BWKQ&amp;dib=eyJ2IjoiMSJ9.fY-lEds1DpF13WL7G5HJEBd05c8nCvvX4owduovgZPXjjjQam6F6DS4kOkTj7UPbZpD--D7tDJwHKNXdtMkAjZGrmCEvypsXn_DRZYhGkbR9hipJbSkmNkAEN2IyHruaPfFB_yUsGmnwRBka3PnEp1Y6XrxZ05QmHsqCjudFWm1mZsPeWJWyYKKAHAG43pboOvxXKKv7e3TkHATgKNHndAhJNFYebbenRuDsUPnd3EBumCWYIDbt3Z0K33W8xuHNY6R84oGn_LhMfJTXQ4nQ-wIYofWkHmIWT62ogtqpRwI.uw_SejC48MOJQi1XX5SQlu3CTY2IQoXpqyAh7yvLEBY&amp;dib_tag=se&amp;keywords=buck+converter+12v+to+3.3v&amp;qid=1757236574&amp;sprefix=buck+converter+12v+to+3.3v%2Caps%2C99&amp;sr=8-1" TargetMode="External"/><Relationship Id="rId4" Type="http://schemas.openxmlformats.org/officeDocument/2006/relationships/hyperlink" Target="https://www.ebay.co.uk/itm/204894023432?_skw=dht22&amp;itmmeta=01K4DGEHM1EG61GJPKTZRMAK6P&amp;hash=item2fb4a2af08:g:G3EAAOSwZv5mm~PM&amp;itmprp=enc%3AAQAKAAAAwFkggFvd1GGDu0w3yXCmi1fmPetXo2lpWfAfSvxcPBPgOmOUQ3QCITSFwoOkFsz89iUoR2Y5ce1GqikmincmKMXoBSbdJWvhAElraOOh1AbtRR4yRTPQXZ1yM1CMj4ZRsMTZo%2FX3ox4QQFNznVhnS%2BCl3W3zwklHyuzr0swD8zfKFArZyhyHTn1pR9na2Z893CtY6lGBbM6EKfL60ArkI5%2F3QXqHVT32svg%2FWNyUTMSYVVDMLf00XkAewzM6%2FjWq1Q%3D%3D%7Ctkp%3ABk9SR7SburCjZg" TargetMode="External"/><Relationship Id="rId9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7A1FC-B70C-42A3-8003-35A7D5DB4025}">
  <dimension ref="A1:K12"/>
  <sheetViews>
    <sheetView tabSelected="1" workbookViewId="0">
      <selection activeCell="K1" sqref="K1"/>
    </sheetView>
  </sheetViews>
  <sheetFormatPr defaultColWidth="20.7109375" defaultRowHeight="24.95" customHeight="1" x14ac:dyDescent="0.25"/>
  <cols>
    <col min="1" max="1" width="20.7109375" style="3"/>
    <col min="2" max="2" width="50.7109375" style="3" customWidth="1"/>
    <col min="3" max="16384" width="20.7109375" style="3"/>
  </cols>
  <sheetData>
    <row r="1" spans="1:11" customFormat="1" ht="24.95" customHeight="1" x14ac:dyDescent="0.25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3"/>
    </row>
    <row r="2" spans="1:11" customFormat="1" ht="24.95" customHeigh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12</v>
      </c>
      <c r="F2" s="2" t="s">
        <v>25</v>
      </c>
      <c r="G2" s="2" t="s">
        <v>23</v>
      </c>
      <c r="H2" s="2" t="s">
        <v>24</v>
      </c>
      <c r="I2" s="2" t="s">
        <v>5</v>
      </c>
      <c r="J2" s="2" t="s">
        <v>6</v>
      </c>
      <c r="K2" s="3"/>
    </row>
    <row r="3" spans="1:11" ht="24.95" customHeight="1" x14ac:dyDescent="0.25">
      <c r="A3" s="3" t="s">
        <v>7</v>
      </c>
      <c r="B3" s="5" t="s">
        <v>8</v>
      </c>
      <c r="C3" s="3" t="s">
        <v>9</v>
      </c>
      <c r="D3" s="1">
        <v>1</v>
      </c>
      <c r="E3" s="1">
        <v>2</v>
      </c>
      <c r="F3" s="7">
        <v>11.64</v>
      </c>
      <c r="G3" s="7">
        <v>0</v>
      </c>
      <c r="H3" s="7">
        <f>Table1[[#This Row],[Unit Price]]*Table1[[#This Row],[Quantity]]+Table1[[#This Row],[Shipping]]</f>
        <v>11.64</v>
      </c>
      <c r="I3" s="1" t="s">
        <v>13</v>
      </c>
      <c r="J3" s="4" t="s">
        <v>10</v>
      </c>
    </row>
    <row r="4" spans="1:11" ht="24.95" customHeight="1" x14ac:dyDescent="0.25">
      <c r="A4" s="3" t="s">
        <v>15</v>
      </c>
      <c r="B4" s="5" t="s">
        <v>17</v>
      </c>
      <c r="C4" s="3" t="s">
        <v>18</v>
      </c>
      <c r="D4" s="1">
        <v>1</v>
      </c>
      <c r="E4" s="1">
        <v>500</v>
      </c>
      <c r="F4" s="7">
        <v>6.19</v>
      </c>
      <c r="G4" s="7">
        <v>0</v>
      </c>
      <c r="H4" s="7">
        <f>Table1[[#This Row],[Unit Price]]*Table1[[#This Row],[Quantity]]+Table1[[#This Row],[Shipping]]</f>
        <v>6.19</v>
      </c>
      <c r="I4" s="1" t="s">
        <v>13</v>
      </c>
      <c r="J4" s="4" t="s">
        <v>16</v>
      </c>
    </row>
    <row r="5" spans="1:11" ht="24.95" customHeight="1" x14ac:dyDescent="0.25">
      <c r="A5" s="3" t="s">
        <v>19</v>
      </c>
      <c r="B5" s="5" t="s">
        <v>21</v>
      </c>
      <c r="C5" s="3" t="s">
        <v>20</v>
      </c>
      <c r="D5" s="1">
        <v>1</v>
      </c>
      <c r="E5" s="1">
        <v>2</v>
      </c>
      <c r="F5" s="7">
        <v>2</v>
      </c>
      <c r="G5" s="7">
        <v>1.65</v>
      </c>
      <c r="H5" s="7">
        <f>Table1[[#This Row],[Unit Price]]*Table1[[#This Row],[Quantity]]+Table1[[#This Row],[Shipping]]</f>
        <v>3.65</v>
      </c>
      <c r="I5" s="1" t="s">
        <v>13</v>
      </c>
      <c r="J5" s="4" t="s">
        <v>16</v>
      </c>
    </row>
    <row r="6" spans="1:11" ht="24.95" customHeight="1" x14ac:dyDescent="0.25">
      <c r="A6" s="3" t="s">
        <v>22</v>
      </c>
      <c r="B6" s="5" t="s">
        <v>26</v>
      </c>
      <c r="C6" s="3" t="s">
        <v>27</v>
      </c>
      <c r="D6" s="1">
        <v>1</v>
      </c>
      <c r="E6" s="1">
        <v>1</v>
      </c>
      <c r="F6" s="7">
        <v>3.49</v>
      </c>
      <c r="G6" s="7">
        <v>1</v>
      </c>
      <c r="H6" s="7">
        <f>Table1[[#This Row],[Unit Price]]*Table1[[#This Row],[Quantity]]+Table1[[#This Row],[Shipping]]</f>
        <v>4.49</v>
      </c>
      <c r="I6" s="1" t="s">
        <v>13</v>
      </c>
      <c r="J6" s="4" t="s">
        <v>16</v>
      </c>
    </row>
    <row r="7" spans="1:11" ht="24.95" customHeight="1" x14ac:dyDescent="0.25">
      <c r="A7" s="3" t="s">
        <v>28</v>
      </c>
      <c r="B7" s="5" t="s">
        <v>30</v>
      </c>
      <c r="C7" s="3" t="s">
        <v>29</v>
      </c>
      <c r="D7" s="1">
        <v>1</v>
      </c>
      <c r="E7" s="1">
        <v>5</v>
      </c>
      <c r="F7" s="7">
        <v>4.99</v>
      </c>
      <c r="G7" s="7">
        <v>0</v>
      </c>
      <c r="H7" s="7">
        <f>Table1[[#This Row],[Unit Price]]*Table1[[#This Row],[Quantity]]+Table1[[#This Row],[Shipping]]</f>
        <v>4.99</v>
      </c>
      <c r="I7" s="1" t="s">
        <v>13</v>
      </c>
      <c r="J7" s="4" t="s">
        <v>10</v>
      </c>
    </row>
    <row r="8" spans="1:11" ht="24.95" customHeight="1" x14ac:dyDescent="0.25">
      <c r="A8" s="3" t="s">
        <v>33</v>
      </c>
      <c r="B8" s="5" t="s">
        <v>32</v>
      </c>
      <c r="C8" s="3" t="s">
        <v>31</v>
      </c>
      <c r="D8" s="1">
        <v>1</v>
      </c>
      <c r="E8" s="1">
        <v>5</v>
      </c>
      <c r="F8" s="7">
        <v>3.23</v>
      </c>
      <c r="G8" s="7">
        <v>2.2599999999999998</v>
      </c>
      <c r="H8" s="7">
        <f>Table1[[#This Row],[Unit Price]]*Table1[[#This Row],[Quantity]]+Table1[[#This Row],[Shipping]]</f>
        <v>5.49</v>
      </c>
      <c r="I8" s="1" t="s">
        <v>13</v>
      </c>
      <c r="J8" s="4" t="s">
        <v>16</v>
      </c>
    </row>
    <row r="9" spans="1:11" ht="24.95" customHeight="1" x14ac:dyDescent="0.25">
      <c r="A9" s="3" t="s">
        <v>34</v>
      </c>
      <c r="B9" s="5" t="s">
        <v>35</v>
      </c>
      <c r="C9" s="1" t="s">
        <v>11</v>
      </c>
      <c r="D9" s="1">
        <v>1</v>
      </c>
      <c r="E9" s="1">
        <v>12</v>
      </c>
      <c r="F9" s="7">
        <v>5.99</v>
      </c>
      <c r="G9" s="7">
        <v>0</v>
      </c>
      <c r="H9" s="7">
        <f>Table1[[#This Row],[Unit Price]]*Table1[[#This Row],[Quantity]]+Table1[[#This Row],[Shipping]]</f>
        <v>5.99</v>
      </c>
      <c r="I9" s="1" t="s">
        <v>13</v>
      </c>
      <c r="J9" s="4" t="s">
        <v>10</v>
      </c>
    </row>
    <row r="10" spans="1:11" ht="24.95" customHeight="1" x14ac:dyDescent="0.25">
      <c r="A10" s="3" t="s">
        <v>36</v>
      </c>
      <c r="B10" s="5" t="s">
        <v>37</v>
      </c>
      <c r="C10" s="1" t="s">
        <v>11</v>
      </c>
      <c r="D10" s="1">
        <v>2</v>
      </c>
      <c r="E10" s="1">
        <v>1</v>
      </c>
      <c r="F10" s="7">
        <v>7.99</v>
      </c>
      <c r="G10" s="7">
        <v>0</v>
      </c>
      <c r="H10" s="7">
        <f>Table1[[#This Row],[Unit Price]]*Table1[[#This Row],[Quantity]]+Table1[[#This Row],[Shipping]]</f>
        <v>15.98</v>
      </c>
      <c r="I10" s="1" t="s">
        <v>13</v>
      </c>
      <c r="J10" s="4" t="s">
        <v>16</v>
      </c>
    </row>
    <row r="11" spans="1:11" ht="24.95" customHeight="1" x14ac:dyDescent="0.25">
      <c r="A11" s="3" t="s">
        <v>38</v>
      </c>
      <c r="B11" s="5"/>
      <c r="D11" s="1">
        <v>1</v>
      </c>
      <c r="E11" s="1">
        <v>1</v>
      </c>
      <c r="F11" s="7">
        <v>0</v>
      </c>
      <c r="G11" s="7">
        <v>0</v>
      </c>
      <c r="H11" s="8">
        <f>Table1[[#This Row],[Unit Price]]*Table1[[#This Row],[Quantity]]+Table1[[#This Row],[Shipping]]</f>
        <v>0</v>
      </c>
      <c r="I11" s="1"/>
      <c r="J11" s="4"/>
    </row>
    <row r="12" spans="1:11" ht="24.95" customHeight="1" x14ac:dyDescent="0.25">
      <c r="A12" s="3" t="s">
        <v>14</v>
      </c>
      <c r="B12" s="5"/>
      <c r="D12"/>
      <c r="E12" s="1"/>
      <c r="F12" s="1"/>
      <c r="G12" s="1"/>
      <c r="H12" s="10">
        <f>SUM(Table1[Total Price])</f>
        <v>58.42</v>
      </c>
      <c r="I12" s="1"/>
      <c r="J12" s="6">
        <f>SUBTOTAL(103,Table1[Link])</f>
        <v>8</v>
      </c>
    </row>
  </sheetData>
  <mergeCells count="1">
    <mergeCell ref="A1:J1"/>
  </mergeCells>
  <hyperlinks>
    <hyperlink ref="J3" r:id="rId1" xr:uid="{0706614D-540C-4492-801E-63A3D9D51F2A}"/>
    <hyperlink ref="J4" r:id="rId2" xr:uid="{768BEF47-51ED-4520-B425-12392232FB76}"/>
    <hyperlink ref="J5" r:id="rId3" xr:uid="{C4AEFB64-A09F-45C6-99FC-FD4379A00126}"/>
    <hyperlink ref="J6" r:id="rId4" xr:uid="{38E5E684-DF09-4296-8EE0-713AA5AA9391}"/>
    <hyperlink ref="J7" r:id="rId5" xr:uid="{9FD14A6E-8C9D-4796-B657-E314436BABA8}"/>
    <hyperlink ref="J8" r:id="rId6" xr:uid="{FF526B3F-AC98-4C0C-9802-9F62F9CC3DA4}"/>
    <hyperlink ref="J9" r:id="rId7" xr:uid="{544400F1-B888-41BB-ABD8-C1069DE6DE44}"/>
    <hyperlink ref="J10" r:id="rId8" xr:uid="{965A1DF3-4B2B-4D48-A149-8D96BB1B6135}"/>
  </hyperlinks>
  <pageMargins left="0.7" right="0.7" top="0.75" bottom="0.75" header="0.3" footer="0.3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component_orders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Dixon</dc:creator>
  <cp:lastModifiedBy>Samuel Dixon</cp:lastModifiedBy>
  <dcterms:created xsi:type="dcterms:W3CDTF">2025-08-04T12:49:31Z</dcterms:created>
  <dcterms:modified xsi:type="dcterms:W3CDTF">2025-09-07T10:15:37Z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e7559e1-065f-48bd-9ddf-4bc014495b9d_Enabled">
    <vt:lpwstr>true</vt:lpwstr>
  </property>
  <property fmtid="{D5CDD505-2E9C-101B-9397-08002B2CF9AE}" pid="3" name="MSIP_Label_ce7559e1-065f-48bd-9ddf-4bc014495b9d_SetDate">
    <vt:lpwstr>2025-08-04T12:49:46Z</vt:lpwstr>
  </property>
  <property fmtid="{D5CDD505-2E9C-101B-9397-08002B2CF9AE}" pid="4" name="MSIP_Label_ce7559e1-065f-48bd-9ddf-4bc014495b9d_Method">
    <vt:lpwstr>Standard</vt:lpwstr>
  </property>
  <property fmtid="{D5CDD505-2E9C-101B-9397-08002B2CF9AE}" pid="5" name="MSIP_Label_ce7559e1-065f-48bd-9ddf-4bc014495b9d_Name">
    <vt:lpwstr>defa4170-0d19-0005-0004-bc88714345d2</vt:lpwstr>
  </property>
  <property fmtid="{D5CDD505-2E9C-101B-9397-08002B2CF9AE}" pid="6" name="MSIP_Label_ce7559e1-065f-48bd-9ddf-4bc014495b9d_SiteId">
    <vt:lpwstr>854b4310-0dbf-4241-ae41-4df0a4f8db92</vt:lpwstr>
  </property>
  <property fmtid="{D5CDD505-2E9C-101B-9397-08002B2CF9AE}" pid="7" name="MSIP_Label_ce7559e1-065f-48bd-9ddf-4bc014495b9d_ActionId">
    <vt:lpwstr>0f5139c8-e7ce-4968-8182-2ce4956cab68</vt:lpwstr>
  </property>
  <property fmtid="{D5CDD505-2E9C-101B-9397-08002B2CF9AE}" pid="8" name="MSIP_Label_ce7559e1-065f-48bd-9ddf-4bc014495b9d_ContentBits">
    <vt:lpwstr>0</vt:lpwstr>
  </property>
  <property fmtid="{D5CDD505-2E9C-101B-9397-08002B2CF9AE}" pid="9" name="MSIP_Label_ce7559e1-065f-48bd-9ddf-4bc014495b9d_Tag">
    <vt:lpwstr>10, 3, 0, 1</vt:lpwstr>
  </property>
</Properties>
</file>