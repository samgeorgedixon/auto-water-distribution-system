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s\primary\regulated-irrigation-system\"/>
    </mc:Choice>
  </mc:AlternateContent>
  <xr:revisionPtr revIDLastSave="0" documentId="13_ncr:1_{13E48FD3-9515-4A0D-B831-AB3AAC1C4389}" xr6:coauthVersionLast="47" xr6:coauthVersionMax="47" xr10:uidLastSave="{00000000-0000-0000-0000-000000000000}"/>
  <bookViews>
    <workbookView xWindow="-120" yWindow="-120" windowWidth="29040" windowHeight="15840" xr2:uid="{38EBA7E1-48E4-4552-B242-4B8FFED322BD}"/>
  </bookViews>
  <sheets>
    <sheet name="component-orders" sheetId="4" r:id="rId1"/>
    <sheet name="component-store-orders" sheetId="6" r:id="rId2"/>
    <sheet name="-b-pre-aliexpress" sheetId="5" r:id="rId3"/>
    <sheet name="-b-ol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4" l="1"/>
  <c r="J29" i="4"/>
  <c r="J28" i="4"/>
  <c r="J27" i="4"/>
  <c r="J26" i="4"/>
  <c r="J25" i="4"/>
  <c r="J24" i="4"/>
  <c r="J23" i="4"/>
  <c r="J22" i="4"/>
  <c r="J21" i="4"/>
  <c r="J20" i="4"/>
  <c r="J19" i="4"/>
  <c r="J15" i="4"/>
  <c r="J14" i="4"/>
  <c r="J13" i="4"/>
  <c r="J12" i="4"/>
  <c r="J11" i="4"/>
  <c r="J10" i="4"/>
  <c r="J9" i="4"/>
  <c r="J18" i="4"/>
  <c r="J8" i="4"/>
  <c r="J6" i="4"/>
  <c r="J5" i="4"/>
  <c r="G7" i="6"/>
  <c r="J30" i="4"/>
  <c r="G8" i="6"/>
  <c r="G6" i="6"/>
  <c r="G5" i="6"/>
  <c r="G4" i="6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J36" i="4"/>
  <c r="J4" i="4"/>
  <c r="J7" i="4"/>
  <c r="J17" i="4"/>
  <c r="J32" i="4"/>
  <c r="J33" i="4"/>
  <c r="J34" i="4"/>
  <c r="J35" i="4"/>
  <c r="J31" i="4"/>
  <c r="H18" i="3"/>
  <c r="H19" i="3"/>
  <c r="H20" i="3"/>
  <c r="H15" i="3"/>
  <c r="H16" i="3"/>
  <c r="H13" i="3"/>
  <c r="H10" i="3"/>
  <c r="H9" i="3"/>
  <c r="H4" i="3"/>
  <c r="H5" i="3"/>
  <c r="H6" i="3"/>
  <c r="H7" i="3"/>
  <c r="H8" i="3"/>
  <c r="H11" i="3"/>
  <c r="H12" i="3"/>
  <c r="G9" i="6" l="1"/>
  <c r="J37" i="4"/>
  <c r="H21" i="3"/>
</calcChain>
</file>

<file path=xl/sharedStrings.xml><?xml version="1.0" encoding="utf-8"?>
<sst xmlns="http://schemas.openxmlformats.org/spreadsheetml/2006/main" count="350" uniqueCount="140">
  <si>
    <t>Name</t>
  </si>
  <si>
    <t>Part Number</t>
  </si>
  <si>
    <t>Quantity</t>
  </si>
  <si>
    <t>Link</t>
  </si>
  <si>
    <t>Amazon</t>
  </si>
  <si>
    <t>PC's</t>
  </si>
  <si>
    <t>Total</t>
  </si>
  <si>
    <t>Temperature Sensor</t>
  </si>
  <si>
    <t>Shipping</t>
  </si>
  <si>
    <t>Total Price</t>
  </si>
  <si>
    <t>SRD-03VDC-SL-C</t>
  </si>
  <si>
    <t>Water Pump</t>
  </si>
  <si>
    <t>Component</t>
  </si>
  <si>
    <t>Headers (JST)</t>
  </si>
  <si>
    <t>JST-PH 2P / 5P</t>
  </si>
  <si>
    <t>ESP32</t>
  </si>
  <si>
    <t>Shift Register</t>
  </si>
  <si>
    <t>SNx4HC595</t>
  </si>
  <si>
    <t>Relay</t>
  </si>
  <si>
    <t>Order</t>
  </si>
  <si>
    <t>Price</t>
  </si>
  <si>
    <t>Needed to Buy</t>
  </si>
  <si>
    <t>~ 2P=6, 5P=3</t>
  </si>
  <si>
    <t>2 - 3</t>
  </si>
  <si>
    <t>2 -  3</t>
  </si>
  <si>
    <t>Shipping Time (Days)</t>
  </si>
  <si>
    <t>13 - 15</t>
  </si>
  <si>
    <t>Tranistor</t>
  </si>
  <si>
    <t xml:space="preserve">BC337-40 </t>
  </si>
  <si>
    <t>AM2302 / DHT22</t>
  </si>
  <si>
    <t>Dip Switch</t>
  </si>
  <si>
    <t>9 - 12</t>
  </si>
  <si>
    <t>SS12D00G</t>
  </si>
  <si>
    <t>Solenoid Valve (Water)</t>
  </si>
  <si>
    <t>-</t>
  </si>
  <si>
    <t>3 - 5</t>
  </si>
  <si>
    <t>Ebay</t>
  </si>
  <si>
    <t>Resistor</t>
  </si>
  <si>
    <t>Piping</t>
  </si>
  <si>
    <t>3-Way Fitting</t>
  </si>
  <si>
    <t>Nozzles</t>
  </si>
  <si>
    <t>Casing</t>
  </si>
  <si>
    <t>Perf Board</t>
  </si>
  <si>
    <t>Component Orders</t>
  </si>
  <si>
    <t>0</t>
  </si>
  <si>
    <t>ESP32-DevKitC-v4</t>
  </si>
  <si>
    <t>3 - 4</t>
  </si>
  <si>
    <t>Unit Price</t>
  </si>
  <si>
    <t>PCB's</t>
  </si>
  <si>
    <t>JLCPCB</t>
  </si>
  <si>
    <t>10 - 14</t>
  </si>
  <si>
    <t>LCSC</t>
  </si>
  <si>
    <t>7 - 15</t>
  </si>
  <si>
    <t>LCSC Components</t>
  </si>
  <si>
    <t xml:space="preserve">DHT22 </t>
  </si>
  <si>
    <t>RTC Module</t>
  </si>
  <si>
    <t xml:space="preserve">ZS042 </t>
  </si>
  <si>
    <t>12 - 16</t>
  </si>
  <si>
    <t>Battery</t>
  </si>
  <si>
    <t xml:space="preserve">Battery Charger </t>
  </si>
  <si>
    <t>8 - 10</t>
  </si>
  <si>
    <t>Boost Converter</t>
  </si>
  <si>
    <t>1A: 5V IN, 4.2V OUT</t>
  </si>
  <si>
    <t>9 - 10</t>
  </si>
  <si>
    <t>Solar Cell</t>
  </si>
  <si>
    <t>150mA: 5V</t>
  </si>
  <si>
    <t>Solenoid Valve</t>
  </si>
  <si>
    <t>ZE-4F180</t>
  </si>
  <si>
    <t>Pump</t>
  </si>
  <si>
    <t>QR50E</t>
  </si>
  <si>
    <t>Pipe</t>
  </si>
  <si>
    <t>2m</t>
  </si>
  <si>
    <t>Straight T-Piece</t>
  </si>
  <si>
    <t>1/2" (16/12mm)</t>
  </si>
  <si>
    <t>Straight Reducer</t>
  </si>
  <si>
    <t>16mm - 8mm</t>
  </si>
  <si>
    <t>Add Components (JST)</t>
  </si>
  <si>
    <t>Min Quantity</t>
  </si>
  <si>
    <t>Info</t>
  </si>
  <si>
    <t>0.4A: 12V (4.8W)</t>
  </si>
  <si>
    <t>4000mAh: 3.7V (14.8W)</t>
  </si>
  <si>
    <t xml:space="preserve"> -40°C to 80°C: ±0.5°C</t>
  </si>
  <si>
    <t>3D Printed</t>
  </si>
  <si>
    <t>2A OUT: 2-24V IN, 3-28V OUT</t>
  </si>
  <si>
    <t>Casing (Model)</t>
  </si>
  <si>
    <t>AliExpress</t>
  </si>
  <si>
    <t>8 - 12, 18</t>
  </si>
  <si>
    <t>Store</t>
  </si>
  <si>
    <t>3D Print</t>
  </si>
  <si>
    <t>Store Basket</t>
  </si>
  <si>
    <t>Electronics</t>
  </si>
  <si>
    <t>Components</t>
  </si>
  <si>
    <t>1/2" (OD-16mm)</t>
  </si>
  <si>
    <t>Command Module</t>
  </si>
  <si>
    <t>Switch Module</t>
  </si>
  <si>
    <t>v1.0.0</t>
  </si>
  <si>
    <t>B2P-VH(LF)(SN)</t>
  </si>
  <si>
    <t>SS-12D00-G3</t>
  </si>
  <si>
    <t>B5B-PH-K-S(LF)(SN)</t>
  </si>
  <si>
    <t>IRLZ44N(UMW)</t>
  </si>
  <si>
    <t>SB560_AY_10001</t>
  </si>
  <si>
    <t>74HC595N</t>
  </si>
  <si>
    <t>B2B-PH-K-S(LF)(SN)</t>
  </si>
  <si>
    <t>PM2.54-1X3P-H85</t>
  </si>
  <si>
    <t>JST-PH Male 2pin</t>
  </si>
  <si>
    <t>JST-PH Male 5pin</t>
  </si>
  <si>
    <t>JST-VH Male 2pin</t>
  </si>
  <si>
    <t>Header 3pin</t>
  </si>
  <si>
    <t>Temp Sensor</t>
  </si>
  <si>
    <t>DHT22</t>
  </si>
  <si>
    <t>Pipe: Flexible PVC</t>
  </si>
  <si>
    <t>1m: ID-12mm</t>
  </si>
  <si>
    <t>2m: ID-16mm (1/2")</t>
  </si>
  <si>
    <t>T-Piece</t>
  </si>
  <si>
    <t>Pipe Reducer</t>
  </si>
  <si>
    <t>3.9mm - 12.7mm</t>
  </si>
  <si>
    <t>MT3608</t>
  </si>
  <si>
    <t>2A OUT</t>
  </si>
  <si>
    <t>10cm: Double Ended</t>
  </si>
  <si>
    <t>Wire: JST-VH 2pin</t>
  </si>
  <si>
    <t>Wire: JST-PH 5pin</t>
  </si>
  <si>
    <t>Wire: JST-PH 2pin</t>
  </si>
  <si>
    <t>20cm: Single Ended</t>
  </si>
  <si>
    <t>11.1mm - 15.8mm</t>
  </si>
  <si>
    <t>5W: 12V (3m Lift, 280l/h)</t>
  </si>
  <si>
    <t>FPD-270A</t>
  </si>
  <si>
    <t>12V: G1/2" NC</t>
  </si>
  <si>
    <t>ZS-042</t>
  </si>
  <si>
    <t>4Ah: 3.7V</t>
  </si>
  <si>
    <t>8 - 12</t>
  </si>
  <si>
    <t>18</t>
  </si>
  <si>
    <t>3.3V: 5A-12V</t>
  </si>
  <si>
    <t>Mosfet</t>
  </si>
  <si>
    <t>5A</t>
  </si>
  <si>
    <t>Diode</t>
  </si>
  <si>
    <t>8bit</t>
  </si>
  <si>
    <t>Switch</t>
  </si>
  <si>
    <t>2state</t>
  </si>
  <si>
    <t>PM2.54-1*19</t>
  </si>
  <si>
    <t>Header 19pin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</si>
</sst>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0" fontId="2" fillId="0" borderId="0" xfId="0" applyFont="1" applyAlignment="1">
      <alignment horizontal="left" vertical="center"/>
    </xf>
    <xf numFmtId="44" fontId="0" fillId="0" borderId="0" xfId="2" applyFont="1" applyAlignment="1">
      <alignment horizontal="center" vertical="center"/>
    </xf>
    <xf numFmtId="44" fontId="0" fillId="0" borderId="0" xfId="2" applyFont="1" applyAlignment="1">
      <alignment horizontal="left" vertical="center"/>
    </xf>
    <xf numFmtId="44" fontId="0" fillId="0" borderId="0" xfId="0" applyNumberFormat="1" applyAlignment="1">
      <alignment horizontal="center" vertical="center"/>
    </xf>
    <xf numFmtId="0" fontId="0" fillId="0" borderId="0" xfId="3" applyNumberFormat="1" applyFont="1" applyAlignment="1">
      <alignment horizontal="center" vertical="center"/>
    </xf>
    <xf numFmtId="0" fontId="0" fillId="0" borderId="0" xfId="2" applyNumberFormat="1" applyFont="1" applyAlignment="1">
      <alignment horizontal="center" vertical="center"/>
    </xf>
    <xf numFmtId="49" fontId="0" fillId="0" borderId="0" xfId="2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6" fontId="0" fillId="0" borderId="0" xfId="0" applyNumberFormat="1" applyAlignment="1">
      <alignment horizontal="left" vertical="center"/>
    </xf>
    <xf numFmtId="0" fontId="2" fillId="0" borderId="0" xfId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0" fillId="0" borderId="0" xfId="2" applyNumberFormat="1" applyFont="1" applyAlignment="1">
      <alignment horizontal="center" vertical="center"/>
    </xf>
  </cellXfs>
  <cellStyles count="4">
    <cellStyle name="Comma" xfId="3" builtinId="3"/>
    <cellStyle name="Currency" xfId="2" builtinId="4"/>
    <cellStyle name="Hyperlink" xfId="1" builtinId="8"/>
    <cellStyle name="Normal" xfId="0" builtinId="0"/>
  </cellStyles>
  <dxfs count="84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5120E-986D-4067-B0C7-38EE2E0158E2}" name="Table132" displayName="Table132" ref="A3:L37" totalsRowCount="1" headerRowDxfId="83" dataDxfId="82">
  <autoFilter ref="A3:L36" xr:uid="{E7F31172-D701-43B3-B363-E7128DEE1A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9E879416-F40A-4624-9F1D-8E3EA9B26E4F}" name="Store" totalsRowLabel="Total" dataDxfId="29" totalsRowDxfId="10"/>
    <tableColumn id="9" xr3:uid="{E5C18827-E5F9-4E36-8E09-A33590D1C7BB}" name="Name" dataDxfId="28" totalsRowDxfId="9"/>
    <tableColumn id="3" xr3:uid="{39F367DD-94B8-4C39-8D62-42707C3DCD3F}" name="Part Number" dataDxfId="27" totalsRowDxfId="8"/>
    <tableColumn id="12" xr3:uid="{D136FD14-5D1F-4B27-8E3A-CEAA15545B54}" name="Info" dataDxfId="26" totalsRowDxfId="7"/>
    <tableColumn id="5" xr3:uid="{0BC47891-AA27-4760-A86D-FC5961E3AF50}" name="Min Quantity"/>
    <tableColumn id="7" xr3:uid="{01B4F257-9F3F-47C8-A0AF-616870AD9765}" name="Unit Price" dataDxfId="25" totalsRowDxfId="6" dataCellStyle="Currency"/>
    <tableColumn id="11" xr3:uid="{F6A62268-004A-4602-947B-BD1B548BEFEF}" name="Shipping" dataDxfId="24" totalsRowDxfId="5" dataCellStyle="Currency"/>
    <tableColumn id="4" xr3:uid="{663A3CAC-B93E-4703-8B64-0A0819962437}" name="PC's" dataDxfId="23" totalsRowDxfId="4" dataCellStyle="Currency"/>
    <tableColumn id="2" xr3:uid="{5806903A-DE05-4384-A312-563786E56C58}" name="Needed to Buy" dataDxfId="22" totalsRowDxfId="3" dataCellStyle="Comma"/>
    <tableColumn id="8" xr3:uid="{A0B50653-0FB1-4D21-8A20-FAA95A4B1F77}" name="Total Price" totalsRowFunction="custom" dataDxfId="21" totalsRowDxfId="2" dataCellStyle="Currency">
      <calculatedColumnFormula>Table132[[#This Row],[Unit Price]]*Table132[[#This Row],[Needed to Buy]]+Table132[[#This Row],[Shipping]]</calculatedColumnFormula>
      <totalsRowFormula>SUM(Table132[Total Price])</totalsRowFormula>
    </tableColumn>
    <tableColumn id="6" xr3:uid="{515CF629-198C-414C-AF72-6CFCAEDCCA71}" name="Shipping Time (Days)" dataDxfId="20" totalsRowDxfId="1" dataCellStyle="Currency"/>
    <tableColumn id="10" xr3:uid="{68DD17EA-77A6-418D-8EA7-0A1B2711C634}" name="Link" dataDxfId="19" totalsRowDxfId="0" dataCellStyle="Hyperlink"/>
  </tableColumns>
  <tableStyleInfo name="TableStyleLight9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70F7C7-C273-4F13-85A8-F8896C12C9F4}" name="Table1325" displayName="Table1325" ref="A3:I9" totalsRowCount="1" headerRowDxfId="81" dataDxfId="80">
  <autoFilter ref="A3:I8" xr:uid="{E7F31172-D701-43B3-B363-E7128DEE1A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9FC1643-C009-45D0-BEAC-B7631C32DA24}" name="Store Basket" totalsRowLabel="Total" dataDxfId="79" totalsRowDxfId="18"/>
    <tableColumn id="12" xr3:uid="{E1E8FB97-D6C0-4547-9C66-6B16A1884AD6}" name="Info" dataDxfId="78" totalsRowDxfId="17"/>
    <tableColumn id="5" xr3:uid="{BAB12CC7-BA69-4AC4-B361-A5D9BE286BC4}" name="Min Quantity"/>
    <tableColumn id="7" xr3:uid="{C17488F9-BC53-4EF5-9040-A1643599EECE}" name="Unit Price" dataDxfId="77" totalsRowDxfId="16" dataCellStyle="Currency"/>
    <tableColumn id="11" xr3:uid="{9DBCDFBA-1C9B-4A16-A86E-BF582EEC3A8E}" name="Shipping" dataDxfId="76" totalsRowDxfId="15" dataCellStyle="Currency"/>
    <tableColumn id="2" xr3:uid="{8C88220A-F43F-466B-B51D-C9AE32690669}" name="Needed to Buy" dataDxfId="75" totalsRowDxfId="14" dataCellStyle="Comma"/>
    <tableColumn id="8" xr3:uid="{D786A848-60A1-48EE-A476-5E0C9A40C298}" name="Total Price" totalsRowFunction="custom" dataDxfId="74" totalsRowDxfId="13" dataCellStyle="Currency">
      <calculatedColumnFormula>Table1325[[#This Row],[Unit Price]]*Table1325[[#This Row],[Needed to Buy]]+Table1325[[#This Row],[Shipping]]</calculatedColumnFormula>
      <totalsRowFormula>SUM(Table1325[Total Price])</totalsRowFormula>
    </tableColumn>
    <tableColumn id="6" xr3:uid="{72B5CE47-971F-4990-87B1-19804E9DE094}" name="Shipping Time (Days)" dataDxfId="73" totalsRowDxfId="12" dataCellStyle="Currency"/>
    <tableColumn id="10" xr3:uid="{0B2088CA-3B32-4118-8FB4-509134215037}" name="Link" dataDxfId="72" totalsRowDxfId="11" dataCellStyle="Hyperlink"/>
  </tableColumns>
  <tableStyleInfo name="TableStyleLight9" showFirstColumn="0" showLastColumn="0" showRowStripes="0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975BCA-8754-49BE-95B9-44AA54A5BC1E}" name="Table1324" displayName="Table1324" ref="A3:K19" totalsRowCount="1" headerRowDxfId="71" dataDxfId="70">
  <autoFilter ref="A3:K18" xr:uid="{E7F31172-D701-43B3-B363-E7128DEE1A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346CA06-C1C4-43A6-8295-62F940DCE5B3}" name="Name" totalsRowLabel="Total" dataDxfId="69" totalsRowDxfId="68"/>
    <tableColumn id="3" xr3:uid="{BE978B11-205C-4C8B-A924-1483998F3883}" name="Part Number" dataDxfId="67" totalsRowDxfId="66"/>
    <tableColumn id="12" xr3:uid="{F82F865A-27C9-488A-8535-F250CC5B28B4}" name="Info" dataDxfId="65" totalsRowDxfId="64"/>
    <tableColumn id="5" xr3:uid="{F9DD1078-54BD-4F42-9C8E-58C2DD310E53}" name="Min Quantity"/>
    <tableColumn id="7" xr3:uid="{73DC3B50-2DA1-4C4A-88F3-5058FEBBF6A4}" name="Unit Price" dataDxfId="63" totalsRowDxfId="62" dataCellStyle="Currency"/>
    <tableColumn id="11" xr3:uid="{8BAB5064-5E4C-48EB-9CA1-D0507D9EA1C0}" name="Shipping" dataDxfId="61" totalsRowDxfId="60" dataCellStyle="Currency"/>
    <tableColumn id="4" xr3:uid="{2D48F19F-79DE-48E1-A3FC-7BA806532C00}" name="PC's" dataDxfId="59" totalsRowDxfId="58" dataCellStyle="Currency"/>
    <tableColumn id="2" xr3:uid="{B1CB06A2-3AAF-435A-8624-0A7549DB6267}" name="Needed to Buy" dataDxfId="57" totalsRowDxfId="56" dataCellStyle="Comma"/>
    <tableColumn id="8" xr3:uid="{EDEA9E1A-C648-4FE2-B8B2-71100366E852}" name="Total Price" totalsRowFunction="custom" dataDxfId="55" totalsRowDxfId="54" dataCellStyle="Currency">
      <calculatedColumnFormula>Table1324[[#This Row],[Unit Price]]*Table1324[[#This Row],[Needed to Buy]]+Table1324[[#This Row],[Shipping]]</calculatedColumnFormula>
      <totalsRowFormula>SUM(Table1324[Total Price])</totalsRowFormula>
    </tableColumn>
    <tableColumn id="6" xr3:uid="{0F38EF4B-9C7E-4E08-8FD9-3A0D5506B851}" name="Shipping Time (Days)" dataDxfId="53" totalsRowDxfId="52" dataCellStyle="Currency"/>
    <tableColumn id="10" xr3:uid="{CA6C939D-FE5F-4B38-9659-94D7C8EF0A98}" name="Link" dataDxfId="51" totalsRowDxfId="50" dataCellStyle="Hyperlink"/>
  </tableColumns>
  <tableStyleInfo name="TableStyleLight9" showFirstColumn="0" showLastColumn="0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03711C-AF0B-4EC7-A40E-90D66D92E0A9}" name="Table13" displayName="Table13" ref="A3:J21" totalsRowCount="1" headerRowDxfId="49" dataDxfId="48">
  <autoFilter ref="A3:J20" xr:uid="{E7F31172-D701-43B3-B363-E7128DEE1A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0505AB0-FB3D-461C-9C3B-2F87CB75CA3E}" name="Name" totalsRowLabel="Total" dataDxfId="47" totalsRowDxfId="46"/>
    <tableColumn id="3" xr3:uid="{B207E827-F951-4957-A3CD-3D5745D7DBB3}" name="Part Number" dataDxfId="45" totalsRowDxfId="44"/>
    <tableColumn id="5" xr3:uid="{C62F42C1-483F-4CB2-8088-D2891748CED7}" name="Quantity"/>
    <tableColumn id="7" xr3:uid="{86C5FFE5-26FE-411E-8233-67C26E18EE7D}" name="Price" dataDxfId="43" totalsRowDxfId="42" dataCellStyle="Currency"/>
    <tableColumn id="11" xr3:uid="{064DACA8-37EA-4944-B852-13399DB8A1F9}" name="Shipping" dataDxfId="41" totalsRowDxfId="40" dataCellStyle="Currency"/>
    <tableColumn id="4" xr3:uid="{4365DA71-7823-4A6D-B79A-89D229D256C1}" name="PC's" dataDxfId="39" totalsRowDxfId="38" dataCellStyle="Currency"/>
    <tableColumn id="2" xr3:uid="{B548B73F-E023-486A-8F5B-889414C5F054}" name="Needed to Buy" dataDxfId="37" totalsRowDxfId="36" dataCellStyle="Comma"/>
    <tableColumn id="8" xr3:uid="{609284FB-B55C-4DDE-B373-81C54EBF78C3}" name="Total Price" totalsRowFunction="custom" dataDxfId="35" totalsRowDxfId="34" dataCellStyle="Currency">
      <calculatedColumnFormula>Table13[[#This Row],[Price]]*Table13[[#This Row],[Needed to Buy]]+Table13[[#This Row],[Shipping]]</calculatedColumnFormula>
      <totalsRowFormula>SUM(Table13[Total Price])</totalsRowFormula>
    </tableColumn>
    <tableColumn id="6" xr3:uid="{A5D4A489-4B20-45A7-809F-BD9BDF6944EA}" name="Shipping Time (Days)" dataDxfId="33" totalsRowDxfId="32" dataCellStyle="Currency"/>
    <tableColumn id="10" xr3:uid="{74DC62F8-6FF4-4011-864C-618358397507}" name="Link" dataDxfId="31" totalsRowDxfId="30" dataCellStyle="Hyperlink"/>
  </tableColumns>
  <tableStyleInfo name="TableStyleLight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rt.jlcpcb.com/shopcart/cart?_t=1767553829179&amp;spm=Jlcpcb.Partcart&amp;up_spm=Jlcpcb.Loginpage.1003" TargetMode="External"/><Relationship Id="rId13" Type="http://schemas.openxmlformats.org/officeDocument/2006/relationships/hyperlink" Target="https://www.lcsc.com/product-detail/C282379.html" TargetMode="External"/><Relationship Id="rId18" Type="http://schemas.openxmlformats.org/officeDocument/2006/relationships/hyperlink" Target="https://www.aliexpress.com/p/shoppingcart/index.html?spm=a2g0o.cart.header.1.97d438da5Uqi5N" TargetMode="External"/><Relationship Id="rId26" Type="http://schemas.openxmlformats.org/officeDocument/2006/relationships/hyperlink" Target="https://www.aliexpress.com/item/1005005912274158.html?spm=a2g0o.cart.0.0.3ce238dal7PCA9&amp;mp=1&amp;pdp_npi=6%40dis%21GBP%21GBP%202.15%21GBP%202.01%21%21GBP%202.01%21%21%21%40211b430817687502873785341ee49e%2112000042341279925%21ct%21UK%212823273733%21%211%210%21" TargetMode="External"/><Relationship Id="rId3" Type="http://schemas.openxmlformats.org/officeDocument/2006/relationships/hyperlink" Target="https://www.aliexpress.com/p/shoppingcart/index.html?spm=a2g0o.cart.header.1.97d438da5Uqi5N" TargetMode="External"/><Relationship Id="rId21" Type="http://schemas.openxmlformats.org/officeDocument/2006/relationships/hyperlink" Target="https://www.aliexpress.com/item/1005005912274158.html?spm=a2g0o.cart.0.0.3ce238dal7PCA9&amp;mp=1&amp;pdp_npi=6%40dis%21GBP%21GBP%202.10%21GBP%200.76%21%21GBP%200.76%21%21%21%40211b430817687502873785341ee49e%2112000042341279903%21ct%21UK%212823273733%21%211%210%21" TargetMode="External"/><Relationship Id="rId7" Type="http://schemas.openxmlformats.org/officeDocument/2006/relationships/hyperlink" Target="https://www.ebay.co.uk/itm/333369363332?_skw=Flexible+PVC+Tubing+16mm&amp;itmmeta=01KDZQZW4SNXSVD0NEC8PFMZPH&amp;hash=item4d9e5ccb84%3Ag%3AEMIAAOSwDCFdrLwk&amp;itmprp=enc%3AAQAKAAAA0FkggFvd1GGDu0w3yXCmi1c0vuCniwYzodLfqpyB1H0qrLY3NK%2BftqnfPgkdNhGclJ9oQ%2FzmBn9kt7kRhVrQM9PfODa5mpjw1AJT6mavr3tKKOzFxJyFOsaCdO%2BFSe0R9479YAjfQbcWAw6IU51q0x1yeR47SEwakRq8odUNye0ZSf0TVZXy6xgpKChfGtJae82OtR4%2FNKI90s%2Bl0fS3mTDeQq2wqvhwTxiBK6A3jnCNyvruH0Z8aGxM24YDGxok5mAJDAsa2KvkIW4B8glu8n4%3D%7Ctkp%3ABlBMUMbC__fvZg&amp;var=542418692725" TargetMode="External"/><Relationship Id="rId12" Type="http://schemas.openxmlformats.org/officeDocument/2006/relationships/hyperlink" Target="https://www.lcsc.com/product-detail/C42370423.html" TargetMode="External"/><Relationship Id="rId17" Type="http://schemas.openxmlformats.org/officeDocument/2006/relationships/hyperlink" Target="https://www.lcsc.com/product-detail/C160315.html" TargetMode="External"/><Relationship Id="rId25" Type="http://schemas.openxmlformats.org/officeDocument/2006/relationships/hyperlink" Target="https://www.aliexpress.com/item/1005007270514533.html?spm=a2g0o.cart.0.0.3ce238dal7PCA9&amp;mp=1&amp;pdp_npi=6%40dis%21GBP%21GBP%201.89%21GBP%201.82%21%21GBP%201.82%21%21%21%40211b430817687502873785341ee49e%2112000040015104591%21ct%21UK%212823273733%21%211%210%21" TargetMode="External"/><Relationship Id="rId2" Type="http://schemas.openxmlformats.org/officeDocument/2006/relationships/hyperlink" Target="https://www.lcsc.com/cart" TargetMode="External"/><Relationship Id="rId16" Type="http://schemas.openxmlformats.org/officeDocument/2006/relationships/hyperlink" Target="https://www.lcsc.com/product-detail/C42431866.html" TargetMode="External"/><Relationship Id="rId20" Type="http://schemas.openxmlformats.org/officeDocument/2006/relationships/hyperlink" Target="https://www.aliexpress.com/item/1005008851917137.html?spm=a2g0o.cart.0.0.3ce238dal7PCA9&amp;mp=1&amp;pdp_npi=6%40dis%21GBP%21GBP%206.58%21GBP%203.09%21%21GBP%203.09%21%21%21%40211b430817687502873785341ee49e%2112000046944142282%21ct%21UK%212823273733%21%211%210%21" TargetMode="External"/><Relationship Id="rId29" Type="http://schemas.openxmlformats.org/officeDocument/2006/relationships/hyperlink" Target="https://www.aliexpress.com/item/32985147642.html?spm=a2g0o.cart.0.0.3ce238dal7PCA9&amp;mp=1&amp;pdp_npi=6%40dis%21GBP%21GBP%201.94%21GBP%201.94%21%21GBP%201.94%21%21%21%40211b430817687502873785341ee49e%2166859932211%21ct%21UK%212823273733%21%211%210%21" TargetMode="External"/><Relationship Id="rId1" Type="http://schemas.openxmlformats.org/officeDocument/2006/relationships/hyperlink" Target="https://www.ebay.co.uk/itm/195759492546?_skw=ESP32-WROOM-32D&amp;itmmeta=01KA3PAK167S9EF2QR962749PN&amp;hash=item2d942ccdc2%3Ag%3AVRkAAOSwlM9j6nLK&amp;itmprp=enc%3AAQAKAAAA8FkggFvd1GGDu0w3yXCmi1fkFse0q2aK72YSs1Ngl%2FzbcDq28oqnekHkuMK1EgmTSFPDU9O%2BpZKrCqli7JMx1y7bDN8UoQNCUXZGJTzAg8IxjtshZJKnVS6n3QZBUUzIzsgY919rBC0UpOPXgIoo0KBCLGGG96s9J1GmvIc27%2F2X%2F5sdBOT7uFk7Nq%2BL2ORy%2FPlXdFkLZIijttiRxWlE16kk64JrUeHeIHuS61jYDCY0SXY9hXjfRGjof%2FGA1PEHQIRI0Mu7%2BIUJTixzvjz0O38cgsVVe9nXvE2rmy2imEdVwtTq9Q8E%2Bx3%2B5QHqXf5aSQ%3D%3D%7Ctkp%3ABk9SR-ywqvbQZg&amp;var=495616952084" TargetMode="External"/><Relationship Id="rId6" Type="http://schemas.openxmlformats.org/officeDocument/2006/relationships/hyperlink" Target="https://www.ebay.co.uk/itm/133052308194?_skw=T-Piece&amp;itmmeta=01KF5W1XYFVM32WJARDY9XMV77&amp;hash=item1efa891ae2%3Ag%3AQbwAAOSwytZlaes8&amp;itmprp=enc%3AAQALAAAA4O7PUuNWmJ%2B%2BUShgI9tQz%2FpKm%2BOCAf3ijgH%2BiSMTdKTSIMZcKneniIXeqLFxrbaHkj8Y6y4R7wjVpjMHZFG8GaxUxVxypGXSSQFzoc6yZKGhj2xqWQKyY8c%2BS2hGyGnDNdbzHuWmJeZ%2BMN8yKD8uEXj4lfu4yCjQzeR5esoyvs6riMPgllQEVU3JNCAE%2F4vBN9XD9LiBlQr6gRJgBPXc%2BboG7sNnjM013r%2B0ZzYe3Bw2yTX65D8aB1xM0NtqeKo0swk0VbNfRcFhkcu0wKKY6UkJ8S%2BwppQMrOc5KQo9vHK%2F%7Ctkp%3ABFBMvt-HvPlm&amp;var=432352315321" TargetMode="External"/><Relationship Id="rId11" Type="http://schemas.openxmlformats.org/officeDocument/2006/relationships/hyperlink" Target="https://www.lcsc.com/product-detail/C157993.html" TargetMode="External"/><Relationship Id="rId24" Type="http://schemas.openxmlformats.org/officeDocument/2006/relationships/hyperlink" Target="https://www.aliexpress.com/item/1005007270514533.html?spm=a2g0o.cart.0.0.3ce238dal7PCA9&amp;mp=1&amp;pdp_npi=6%40dis%21GBP%21GBP%200.92%21GBP%200.90%21%21GBP%200.90%21%21%21%40211b430817687502873785341ee49e%2112000040015104582%21ct%21UK%212823273733%21%211%210%21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www.ebay.co.uk/itm/335504833393?_skw=mini+solar+pannel&amp;itmmeta=01KCCJD09VBA4EEE7GJJXSEM4M&amp;hash=item4e1da57b71%3Ag%3ARjYAAOSwDDhmoiD7&amp;itmprp=enc%3AAQAKAAAA8FkggFvd1GGDu0w3yXCmi1f9u5XbC1pKycssSKq6GdrM%2Byq%2FCCR7q0Tf2prPtJ9E60z0msclrpdWWG8Pt6tmY1Ljer4p%2BIZs%2BPqMlb5Oo3kboUvDx61j3ZC5cUJys%2B95CivgAqVl6ReU%2FMBW3CA9g%2BWmYspZuEAHZDOFYyBUh4U0pchFVE6QLDP347gWuGCegzbx%2FgUIbOXLbUZPUDzD8O0to325Kho3qgknK%2FKMqquEmCeVaYinOGeLNuj8a1tMMgdt%2FJN46pzG7WZjxjKKqM1M8krJWr4Two5GPdOmQXI0LD8pVpx8%2FmYiwnW24ncn4g%3D%3D%7Ctkp%3ABk9SR9qGtJLjZg&amp;var=544964340043" TargetMode="External"/><Relationship Id="rId15" Type="http://schemas.openxmlformats.org/officeDocument/2006/relationships/hyperlink" Target="https://www.lcsc.com/product-detail/C131337.html" TargetMode="External"/><Relationship Id="rId23" Type="http://schemas.openxmlformats.org/officeDocument/2006/relationships/hyperlink" Target="https://www.aliexpress.com/item/1005009025003911.html?spm=a2g0o.cart.0.0.3ce238dal7PCA9&amp;mp=1&amp;pdp_npi=6%40dis%21GBP%21GBP%201.32%21GBP%201.27%21%21GBP%201.27%21%21%21%40211b430817687502873785341ee49e%2112000047622686532%21ct%21UK%212823273733%21%211%210%21" TargetMode="External"/><Relationship Id="rId28" Type="http://schemas.openxmlformats.org/officeDocument/2006/relationships/hyperlink" Target="https://www.aliexpress.com/item/1005007532380394.html?spm=a2g0o.cart.0.0.3ce238dal7PCA9&amp;mp=1&amp;pdp_npi=6%40dis%21GBP%21GBP%209.81%21GBP%203.08%21%21GBP%203.08%21%21%21%40211b430817687502873785341ee49e%2112000041181081331%21ct%21UK%212823273733%21%212%210%21" TargetMode="External"/><Relationship Id="rId10" Type="http://schemas.openxmlformats.org/officeDocument/2006/relationships/hyperlink" Target="https://www.lcsc.com/product-detail/C22355741.html" TargetMode="External"/><Relationship Id="rId19" Type="http://schemas.openxmlformats.org/officeDocument/2006/relationships/hyperlink" Target="https://www.aliexpress.com/item/1005010342821748.html?spm=a2g0o.cart.0.0.3ce238dal7PCA9&amp;mp=1&amp;pdp_npi=6%40dis%21GBP%21GBP%203.90%21GBP%201.79%21%21GBP%201.79%21%21%21%40211b430817687502873785341ee49e%2112000052048690777%21ct%21UK%212823273733%21%211%210%21" TargetMode="External"/><Relationship Id="rId31" Type="http://schemas.openxmlformats.org/officeDocument/2006/relationships/hyperlink" Target="https://www.lcsc.com/product-detail/C5371990.html?s_z=n_PM2.54-1X19P-H85" TargetMode="External"/><Relationship Id="rId4" Type="http://schemas.openxmlformats.org/officeDocument/2006/relationships/hyperlink" Target="https://www.ebay.co.uk/itm/254771123006?_skw=Li-ion+charge+controller&amp;itmmeta=01KCE8GVJEVT9J6W3MWF6TEBNC&amp;hash=item3b518ad33e:g:7VEAAOSw7ixfpk74&amp;itmprp=enc%3AAQAKAAAA8FkggFvd1GGDu0w3yXCmi1eDJMWTOFINEiVG92ipCzvzAFRg%2BQBYdroOxvs36lGQ1c8Sepvc1auCZW1ZE61%2BLyz0X8wkkEo9XNBcD%2B0Wai2PjpqOJcwH5RNj02BNqoN2E%2FK78s3y7UX0VCugK1MsSpblRYAFRMJVCDWoIiPXkknU6mJMBPJmsQIDGtfe8ajTmnV4kiTt7dEY%2F4RLIGPxBtCwgnUTspzg%2BOv2AzBvch0t8e1nbsAZ4blrNnDN0Fm03kvrrXfyBf3TQVlyzH01ZTDIJZb94zUzlUflQCe673ZgLfBoVHNII0wMY93oqfSJTA%3D%3D%7Ctkp%3ABk9SR7y5w8jjZg" TargetMode="External"/><Relationship Id="rId9" Type="http://schemas.openxmlformats.org/officeDocument/2006/relationships/hyperlink" Target="https://cart.ebay.co.uk/" TargetMode="External"/><Relationship Id="rId14" Type="http://schemas.openxmlformats.org/officeDocument/2006/relationships/hyperlink" Target="https://www.lcsc.com/product-detail/C507175.html" TargetMode="External"/><Relationship Id="rId22" Type="http://schemas.openxmlformats.org/officeDocument/2006/relationships/hyperlink" Target="https://www.aliexpress.com/item/1005008953348410.html?spm=a2g0o.cart.0.0.3ce238dal7PCA9&amp;mp=1&amp;pdp_npi=6%40dis%21GBP%21GBP%201.89%21GBP%201.89%21%21GBP%201.89%21%21%21%40211b430817687502873785341ee49e%2112000047345904612%21ct%21UK%212823273733%21%211%210%21" TargetMode="External"/><Relationship Id="rId27" Type="http://schemas.openxmlformats.org/officeDocument/2006/relationships/hyperlink" Target="https://www.aliexpress.com/item/1005007457199939.html?spm=a2g0o.cart.0.0.3ce238dal7PCA9&amp;mp=1&amp;pdp_npi=6%40dis%21GBP%21GBP%2011.98%21GBP%203.83%21%21GBP%203.83%21%21%21%40211b430817687502873785341ee49e%2112000040834375599%21ct%21UK%212823273733%21%211%210%21" TargetMode="External"/><Relationship Id="rId30" Type="http://schemas.openxmlformats.org/officeDocument/2006/relationships/hyperlink" Target="https://www.aliexpress.com/item/32908593252.html?spm=a2g0o.cart.0.0.3ce238dal7PCA9&amp;mp=1&amp;pdp_npi=6%40dis%21GBP%21GBP%209.51%21GBP%205.99%21%21GBP%205.99%21%21%21%40211b430817687502873785341ee49e%2165911281559%21ct%21UK%212823273733%21%211%210%2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p/shoppingcart/index.html?spm=a2g0o.cart.header.1.97d438da5Uqi5N" TargetMode="External"/><Relationship Id="rId2" Type="http://schemas.openxmlformats.org/officeDocument/2006/relationships/hyperlink" Target="https://www.lcsc.com/cart" TargetMode="External"/><Relationship Id="rId1" Type="http://schemas.openxmlformats.org/officeDocument/2006/relationships/hyperlink" Target="https://cart.jlcpcb.com/shopcart/cart?_t=1767553829179&amp;spm=Jlcpcb.Partcart&amp;up_spm=Jlcpcb.Loginpage.1003" TargetMode="External"/><Relationship Id="rId5" Type="http://schemas.openxmlformats.org/officeDocument/2006/relationships/table" Target="../tables/table2.xml"/><Relationship Id="rId4" Type="http://schemas.openxmlformats.org/officeDocument/2006/relationships/hyperlink" Target="https://cart.ebay.co.uk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bay.co.uk/itm/193563404889?_skw=boost+converter&amp;itmmeta=01KCEAJA8JJPBZW4025VV3BDJQ&amp;hash=item2d11472a59:g:9hYAAOSwD45fCBE8&amp;itmprp=enc%3AAQAKAAAA0FkggFvd1GGDu0w3yXCmi1dbEasEs96FEf2CRace3p98N8LxzagL4UW%2Fzqe51XlBGrX0U4IdT9mAM9fCHU2Cj36bb4gecrq1huH54Tqfqvrj1IQwXwuatmLsx2hN%2BsEs2eTDmbxEQ4rGxY9si0hyiFw0M9sxnbyxBQDX4EQY5oANaeCyptopcpWKWt6z8AgeQRZiHBc9nytGS7VGJsmUuEef%2FD3aPVqkHfv05fScXgtKRl7fDu4b9GdenirDPEsl6ySuH%2FsGdeOCLPYXWZQiETM%3D%7Ctkp%3ABk9SR9qkycrjZg" TargetMode="External"/><Relationship Id="rId13" Type="http://schemas.openxmlformats.org/officeDocument/2006/relationships/hyperlink" Target="https://www.ebay.co.uk/itm/333369363332?_skw=Flexible+PVC+Tubing+16mm&amp;itmmeta=01KDZQZW4SNXSVD0NEC8PFMZPH&amp;hash=item4d9e5ccb84%3Ag%3AEMIAAOSwDCFdrLwk&amp;itmprp=enc%3AAQAKAAAA0FkggFvd1GGDu0w3yXCmi1c0vuCniwYzodLfqpyB1H0qrLY3NK%2BftqnfPgkdNhGclJ9oQ%2FzmBn9kt7kRhVrQM9PfODa5mpjw1AJT6mavr3tKKOzFxJyFOsaCdO%2BFSe0R9479YAjfQbcWAw6IU51q0x1yeR47SEwakRq8odUNye0ZSf0TVZXy6xgpKChfGtJae82OtR4%2FNKI90s%2Bl0fS3mTDeQq2wqvhwTxiBK6A3jnCNyvruH0Z8aGxM24YDGxok5mAJDAsa2KvkIW4B8glu8n4%3D%7Ctkp%3ABlBMUMbC__fvZg&amp;var=542418692725" TargetMode="External"/><Relationship Id="rId3" Type="http://schemas.openxmlformats.org/officeDocument/2006/relationships/hyperlink" Target="https://www.lcsc.com/cart" TargetMode="External"/><Relationship Id="rId7" Type="http://schemas.openxmlformats.org/officeDocument/2006/relationships/hyperlink" Target="https://www.ebay.co.uk/itm/254771123006?_skw=Li-ion+charge+controller&amp;itmmeta=01KCE8GVJEVT9J6W3MWF6TEBNC&amp;hash=item3b518ad33e:g:7VEAAOSw7ixfpk74&amp;itmprp=enc%3AAQAKAAAA8FkggFvd1GGDu0w3yXCmi1eDJMWTOFINEiVG92ipCzvzAFRg%2BQBYdroOxvs36lGQ1c8Sepvc1auCZW1ZE61%2BLyz0X8wkkEo9XNBcD%2B0Wai2PjpqOJcwH5RNj02BNqoN2E%2FK78s3y7UX0VCugK1MsSpblRYAFRMJVCDWoIiPXkknU6mJMBPJmsQIDGtfe8ajTmnV4kiTt7dEY%2F4RLIGPxBtCwgnUTspzg%2BOv2AzBvch0t8e1nbsAZ4blrNnDN0Fm03kvrrXfyBf3TQVlyzH01ZTDIJZb94zUzlUflQCe673ZgLfBoVHNII0wMY93oqfSJTA%3D%3D%7Ctkp%3ABk9SR7y5w8jjZg" TargetMode="External"/><Relationship Id="rId12" Type="http://schemas.openxmlformats.org/officeDocument/2006/relationships/hyperlink" Target="https://www.ebay.co.uk/itm/226830136544?_skw=12v+water+pump+5w&amp;itmmeta=01KCCQRA0TW3CZK11S03RA7XHS&amp;hash=item34d02134e0:g:GDwAAOSwzddoWS5o&amp;itmprp=enc%3AAQAKAAAA0FkggFvd1GGDu0w3yXCmi1d5FMAun9m041vhwEIzENl23SDInCha6M4iZxWvvcJlYm1LJpQYt2EIu04K3UMwY86DiCzlczhath4655zaZilr4xmxHo5XpgrB36kRFqGH4NEKe4uio5ecvT6Zv5aheTcgvSSCxI6ugKxSBhp0xOfPFYYt8DIxvigu8KOOdWMo%2Fchqai1jY7bECWR7IvIwbIJq9ASllKMHTDCWLwjb6uWzqxhVdxfbKr6sPXH4jez7Ym4l3r48UXS0p%2FAUGBYM0KI%3D%7Ctkp%3ABk9SR9yg4ZfjZg" TargetMode="External"/><Relationship Id="rId2" Type="http://schemas.openxmlformats.org/officeDocument/2006/relationships/hyperlink" Target="https://cart.jlcpcb.com/shopcart/cart?_t=1767553829179&amp;spm=Jlcpcb.Partcart&amp;up_spm=Jlcpcb.Loginpage.1003" TargetMode="External"/><Relationship Id="rId1" Type="http://schemas.openxmlformats.org/officeDocument/2006/relationships/hyperlink" Target="https://www.ebay.co.uk/itm/195759492546?_skw=ESP32-WROOM-32D&amp;itmmeta=01KA3PAK167S9EF2QR962749PN&amp;hash=item2d942ccdc2%3Ag%3AVRkAAOSwlM9j6nLK&amp;itmprp=enc%3AAQAKAAAA8FkggFvd1GGDu0w3yXCmi1fkFse0q2aK72YSs1Ngl%2FzbcDq28oqnekHkuMK1EgmTSFPDU9O%2BpZKrCqli7JMx1y7bDN8UoQNCUXZGJTzAg8IxjtshZJKnVS6n3QZBUUzIzsgY919rBC0UpOPXgIoo0KBCLGGG96s9J1GmvIc27%2F2X%2F5sdBOT7uFk7Nq%2BL2ORy%2FPlXdFkLZIijttiRxWlE16kk64JrUeHeIHuS61jYDCY0SXY9hXjfRGjof%2FGA1PEHQIRI0Mu7%2BIUJTixzvjz0O38cgsVVe9nXvE2rmy2imEdVwtTq9Q8E%2Bx3%2B5QHqXf5aSQ%3D%3D%7Ctkp%3ABk9SR-ywqvbQZg&amp;var=495616952084" TargetMode="External"/><Relationship Id="rId6" Type="http://schemas.openxmlformats.org/officeDocument/2006/relationships/hyperlink" Target="https://www.ebay.co.uk/itm/397444531380?_skw=3.7V+4000+battery&amp;itmmeta=01KDTE6YXMSQDFCDCS81DKYE29&amp;hash=item5c898a44b4:g:4MIAAeSwhcJpU4qa&amp;itmprp=enc%3AAQAKAAAA0FkggFvd1GGDu0w3yXCmi1f8uLZB9ZiwlO7so2kICsdU85eyqc9wkgFuYPCIGb3g5QdsZnirIgKtV9hPxNftWi4eItH%2B4ja93KAaiS2Tc4tJ20YNlrc86v8sSCUxi1Ax%2FbRXbqe7pdiTH2Cj4tHDeqsd1%2BGB4HjEmSrz7VBRiuuBhSou5NAcnsZJsVF27dRBoPGGuVpCHZ4a3GexB6Ukh%2Bl9ZF2G2%2B1RyQRw8lIFREuvbF7D%2FgXjgrs4MtEMcqnxBqXsvjywFOSPryPXVDH29oQ%3D%7Ctkp%3ABk9SR4jvm87uZg" TargetMode="External"/><Relationship Id="rId11" Type="http://schemas.openxmlformats.org/officeDocument/2006/relationships/hyperlink" Target="https://www.ebay.co.uk/itm/133052308194?_trksid=p2332490.c101875.m1851&amp;itmprp=cksum%3A13305230819483ee689929cf4d76af706df2bdf1f20c%7Cenc%3AAQAKAAABELbQdNnV9E6H66rV4nIZYAZCOANuR76zl8wG%252FmKawEdd%252FZzO2T5yUdpwsFRr7Sz0JCzjUqX7TesQCTzLlpKM2Rni6wcbW1--OdZcPKytUajSXYQO61OfUWRQgfOS9CTRjpSAMuuA%252BemAZXIqsONs0pPIz%252BkkiiJEmrQK1cIPPZ8uxl7AqxoXFrhltdy%252FXO9fGrg9CVo4egbbfcW3yClWIpfzlK7q0n6AjmsNHHGrPjYlgXcdmWikdSo7LzmzEP5rnydKF66zHnvKfZ8zbaxoJPy9iLVAYgVzXUJr6hl13m5EEaqHUp0%252F65M9Aek%252BMfYhPiBaRER4MqwIXbMgf3uzeh8LoZ3X%252B8MgezZI7T9P7bw9%7Campid%3APL_CLK%7Cclp%3A2332490&amp;var=432352315316" TargetMode="External"/><Relationship Id="rId5" Type="http://schemas.openxmlformats.org/officeDocument/2006/relationships/hyperlink" Target="https://www.ebay.co.uk/itm/335716057176?_skw=DHT22&amp;itmmeta=01K9TC15QVSZ9EP4PMB49A2JMT&amp;hash=item4e2a3c8058:g:2sgAAOSwKx5mmPCC&amp;itmprp=enc%3AAQAKAAAA4FkggFvd1GGDu0w3yXCmi1dnaYf6p3yqWnWeC6qsDIGTO9QCOS35Fs7pkMblAm16jQ%2BAgSlBw%2FVnhybFNOpM1PrDHUXcjyPCrBsBPw4lfNgD0MPf32FktHjjCx6FoNmO95LDfJ7X80p0vlL3%2FwsRnZ23kndZXQ197bs9iczMyu%2BLbIwdvpEDTktDbvxT4tm7iwZFzbUIZp9WD%2BGGkqnz1KEyg%2FXd9%2B6CMqNMveh3iB4Kc6ne%2BkTh%2BFe6YZkLTlOnTpBEgHefELK5F8Xn5kqLV0wxwVVr%2FidXz1DjRfZLPwVj%7Ctkp%3ABk9SR6bdhMzOZg" TargetMode="External"/><Relationship Id="rId15" Type="http://schemas.openxmlformats.org/officeDocument/2006/relationships/table" Target="../tables/table3.xml"/><Relationship Id="rId10" Type="http://schemas.openxmlformats.org/officeDocument/2006/relationships/hyperlink" Target="https://www.ebay.co.uk/itm/401582152916?_trksid=p4481478.c101506.m1851" TargetMode="External"/><Relationship Id="rId4" Type="http://schemas.openxmlformats.org/officeDocument/2006/relationships/hyperlink" Target="https://www.ebay.co.uk/itm/226921980203?_skw=DS3231&amp;itmmeta=01KARRSF27PFS95FS2CA400QC5&amp;hash=item34d59aa12b:g:yygAAeSwKvxonxw4&amp;itmprp=enc%3AAQAKAAAAwFkggFvd1GGDu0w3yXCmi1dag66dkXQwiMwCF9T9TDPyvMkGnllAzxe%2FvvT7wqFjMVBsAuRaoDYOengIUkfbO%2FY7Acjzz%2Bdx4Ay0qtlvGQxWQXWGXXMDJZjZi6SZdk8e506eRq90Gvu%2BFkzyjxZWSAZexVtuvrtKdHDvUAWvOJ7dFilTWAGbuEeWulT9BBrnCzic4RBmIrZkHgfEnOxGlWjKgMVke0p4jOo21KtRH%2BsolUffD8qJWK1BjgsMj3tx0w%3D%3D%7Ctkp%3ABk9SR7bx5ZjWZg" TargetMode="External"/><Relationship Id="rId9" Type="http://schemas.openxmlformats.org/officeDocument/2006/relationships/hyperlink" Target="https://www.ebay.co.uk/itm/335504833393?_skw=mini+solar+pannel&amp;itmmeta=01KCCJD09VBA4EEE7GJJXSEM4M&amp;hash=item4e1da57b71%3Ag%3ARjYAAOSwDDhmoiD7&amp;itmprp=enc%3AAQAKAAAA8FkggFvd1GGDu0w3yXCmi1f9u5XbC1pKycssSKq6GdrM%2Byq%2FCCR7q0Tf2prPtJ9E60z0msclrpdWWG8Pt6tmY1Ljer4p%2BIZs%2BPqMlb5Oo3kboUvDx61j3ZC5cUJys%2B95CivgAqVl6ReU%2FMBW3CA9g%2BWmYspZuEAHZDOFYyBUh4U0pchFVE6QLDP347gWuGCegzbx%2FgUIbOXLbUZPUDzD8O0to325Kho3qgknK%2FKMqquEmCeVaYinOGeLNuj8a1tMMgdt%2FJN46pzG7WZjxjKKqM1M8krJWr4Two5GPdOmQXI0LD8pVpx8%2FmYiwnW24ncn4g%3D%3D%7Ctkp%3ABk9SR9qGtJLjZg&amp;var=544964340043" TargetMode="External"/><Relationship Id="rId14" Type="http://schemas.openxmlformats.org/officeDocument/2006/relationships/hyperlink" Target="https://www.ebay.co.uk/itm/295491998636?_skw=barbed+reducer&amp;itmmeta=01KDZW7J4Z68V6BB5MFP2ZCBXJ&amp;hash=item44ccb213ac%3Ag%3ApcsAAOSwFvBbuIEn&amp;itmprp=enc%3AAQAKAAAA8FkggFvd1GGDu0w3yXCmi1dRhhdrmFahWq4RZo5%2BAWF8qIvDKyhjnHV%2BzDJXJhK3faq57Kpvly6aCbDGHsTwzpB1GaOAD%2FSP6jg%2BpAHS0q7bA2dgq3gFR77HJtnrBQzrTAJETl2pQ82UNusDvLzzc5fHisUN73VJKLYKk5YpeoRGWfUR5vQltpqk5iXpUt3yU9sZTHNZtZaUunZILUlz2L2EzugbjKriKXoCV9%2FLGXqWgWKM2pRpVM34hbzYPe4o8iZUdxAvppbK7fUYCKNIG6AAxA8xJZplrBHJDzPrUT4%2BilnZt9Htlq4X8W3GqkWEgg%3D%3D%7Ctkp%3ABk9SR9ainvzvZg&amp;var=59358665916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bay.co.uk/itm/141417943048?_skw=transistor&amp;itmmeta=01K9N6R8W9A6K5BTKST0CJ3Q40&amp;hash=item20ed2a9008:g:NNsAAOSwnDZUIxVZ&amp;itmprp=enc%3AAQAKAAAA4FkggFvd1GGDu0w3yXCmi1dCA778gt6OKl0RX2O6XEvReNfDHekDghGF8Md3HzHGBHzYjP5RrdBBWiDXMl7e5zGIxFVBXBuAVOja5HGq%2FXq5CX%2BbZ%2FZ9USt9EgncJm9yVyQpc%2BABw%2FApd%2BqKRDjmDHUgXpz%2FIRFk0F97KfGRbJalMapgcwVr82SkDkD8qPlt3lDT6B%2BjW7gxLiLSnkJ3ANA2figtXKXJZBybStGShubWD7VL7laqqXd2b14vZNaDCV9bzIggxKebuiDn4liKZl9nIYuk%2FqCy7auTmZkmWiMp%7Ctkp%3ABFBMwo7hps1m" TargetMode="External"/><Relationship Id="rId3" Type="http://schemas.openxmlformats.org/officeDocument/2006/relationships/hyperlink" Target="https://www.amazon.co.uk/Lyeteung-JST-PH-Connector-Housing-Terminal-2-3-4-5-6-Pin/dp/B0CDG8W41B?crid=65ETIECKI97L&amp;dib=eyJ2IjoiMSJ9.lBREyrST_0WEWKSiM2ubKQ_lD_b9x-vVkyb9ItQQlezb59jcVEnRpwGjG4T6os08NG-gT_vQleWAOY2T4vQ6_UquF4Act2CNAxsX20rtmhczQneCXNUlysmNgPY_zFgqepFbxF8uHkEO9gufM_JKun2ufjHtgLu6wPSgzEgkQ1W2vWYuxrpAKlrM2JdOsmKzEGzRMNq8e2rNXF2V7_F_w1Wjmbqkai8OAq7YjDU2LSwvOl6H71DtdsshKixc-m4-66qHwGnaDcOrAj4y5Z6KjjdNpJxOa1gMpgOyyfJHCpA.W5GGt6qGqyrbXi1NhryRo41m-OivLfRiuoAV-dwnv-g&amp;dib_tag=se&amp;keywords=jst%2Bph&amp;qid=1762630453&amp;sprefix=jst%2Bph%2Caps%2C151&amp;sr=8-9&amp;th=1" TargetMode="External"/><Relationship Id="rId7" Type="http://schemas.openxmlformats.org/officeDocument/2006/relationships/hyperlink" Target="https://www.ebay.co.uk/itm/223791702220?_skw=SRD-03VDC-SL-C&amp;itmmeta=01K9HZZWT3EDKFF9N3WRN2ZG5M&amp;hash=item341b0660cc%3Ag%3AFPgAAOSwp7RbhPTy&amp;itmprp=enc%3AAQAKAAAA8FkggFvd1GGDu0w3yXCmi1fE89yfh5abYNapr%2FkUsemXXq3jTm0h4PH1yT4jxuNun--KQh%2BL735fgVMAUO56EvOmIh97jif5nWMZtJeObaa1yvyB%2BJrhrI1wrFwtuiS5JfP6B%2Bi2TikIjTg9iFcwWk%2BrjiYCUhkhrdFtqKybfH1cexSoH6sEXbKgnwu%2F2tjtt1tvmPRQygGgoo1wZFwaZtP6zd1QnG%2BYXtJrOISze25gL77l83MnT69kLj1WVnTPMDEAlLHEPjsTsDimsP5rRf%2Bw4uZTcHDxspPwS0Hh%2BzuSW2crMft200ZDKQ7tPhsSBA%3D%3D%7Ctkp%3ABFBMms3_v8xm&amp;var=522536603224" TargetMode="External"/><Relationship Id="rId2" Type="http://schemas.openxmlformats.org/officeDocument/2006/relationships/hyperlink" Target="https://www.amazon.co.uk/Position-Vertical-Breadboard-Miniature-SlideSwitch/dp/B09XX98N7P?crid=3PGXNHENS132A&amp;dib=eyJ2IjoiMSJ9.m8GA1HaTUoWrigx7ZWCzzeK7vAR68FGASaIqRsM2LwmirwfgJmIQUWEq3h0yzvgKsRUTYEYy8i47yierjAMdLXyk1yWp0h_ejHKM6Nug1iQKAl1MxxmU2kmLyb3O2ajpUMo_1afYQT_54Mym7psdCsGQXUDoVM-rrCI6q0ESHFYkORJ7dVElfympG-xfj_FKdQEE5-yNr9Y5Psq3mQlQr1AoJM9bCBT0M63he2iShyQMc2JaSZ71-rrWcOUjWXFL0YpZPAAh7MQ4EA4K1FA8CAjQgFBo2sq-MiW5MKPJHcc.ankf2LTV8DXEKwBku9JQ5ScMMQ7CWUQ_Jur2Bd-f_KY&amp;dib_tag=se&amp;keywords=dip%2Bswitch&amp;qid=1762893014&amp;sprefix=dip%2Bswitch%2Caps%2C123&amp;sr=8-15&amp;th=1" TargetMode="External"/><Relationship Id="rId1" Type="http://schemas.openxmlformats.org/officeDocument/2006/relationships/hyperlink" Target="https://www.ebay.co.uk/itm/195759492546?_skw=ESP32-WROOM-32D&amp;itmmeta=01KA3PAK167S9EF2QR962749PN&amp;hash=item2d942ccdc2%3Ag%3AVRkAAOSwlM9j6nLK&amp;itmprp=enc%3AAQAKAAAA8FkggFvd1GGDu0w3yXCmi1fkFse0q2aK72YSs1Ngl%2FzbcDq28oqnekHkuMK1EgmTSFPDU9O%2BpZKrCqli7JMx1y7bDN8UoQNCUXZGJTzAg8IxjtshZJKnVS6n3QZBUUzIzsgY919rBC0UpOPXgIoo0KBCLGGG96s9J1GmvIc27%2F2X%2F5sdBOT7uFk7Nq%2BL2ORy%2FPlXdFkLZIijttiRxWlE16kk64JrUeHeIHuS61jYDCY0SXY9hXjfRGjof%2FGA1PEHQIRI0Mu7%2BIUJTixzvjz0O38cgsVVe9nXvE2rmy2imEdVwtTq9Q8E%2Bx3%2B5QHqXf5aSQ%3D%3D%7Ctkp%3ABk9SR-ywqvbQZg&amp;var=495616952084" TargetMode="External"/><Relationship Id="rId6" Type="http://schemas.openxmlformats.org/officeDocument/2006/relationships/hyperlink" Target="https://www.ebay.co.uk/itm/335716057176?_skw=DHT22&amp;itmmeta=01K9TC15QVSZ9EP4PMB49A2JMT&amp;hash=item4e2a3c8058:g:2sgAAOSwKx5mmPCC&amp;itmprp=enc%3AAQAKAAAA4FkggFvd1GGDu0w3yXCmi1dnaYf6p3yqWnWeC6qsDIGTO9QCOS35Fs7pkMblAm16jQ%2BAgSlBw%2FVnhybFNOpM1PrDHUXcjyPCrBsBPw4lfNgD0MPf32FktHjjCx6FoNmO95LDfJ7X80p0vlL3%2FwsRnZ23kndZXQ197bs9iczMyu%2BLbIwdvpEDTktDbvxT4tm7iwZFzbUIZp9WD%2BGGkqnz1KEyg%2FXd9%2B6CMqNMveh3iB4Kc6ne%2BkTh%2BFe6YZkLTlOnTpBEgHefELK5F8Xn5kqLV0wxwVVr%2FidXz1DjRfZLPwVj%7Ctkp%3ABk9SR6bdhMzOZg" TargetMode="External"/><Relationship Id="rId11" Type="http://schemas.openxmlformats.org/officeDocument/2006/relationships/table" Target="../tables/table4.xml"/><Relationship Id="rId5" Type="http://schemas.openxmlformats.org/officeDocument/2006/relationships/hyperlink" Target="https://www.ebay.co.uk/itm/350986629563?_skw=4HC595&amp;itmmeta=01K9TBQG13D9HJSATCYGSW17XN&amp;hash=item51b86ef1bb:g:hwgAAOxygLxSWYqG&amp;itmprp=enc%3AAQAKAAAA4FkggFvd1GGDu0w3yXCmi1f%2Fkex5hHj2wRrqmfikvGlk9uJ7sjoZ16APfeWDajXbTywyp72AglZ9BVcTZTxP2g5ku2piNA98m4TMPPsx4bnZjUfWdBHtOE5oxSrJci0y9sRC2pYRP6rE%2BZuXSBx3hDLjZqidbsvtbM7EPfTV0yBPSeuEnH10Lzf%2FBmT2LKJh41taL0Gs7zkUyccC%2BGMyWu5f9t7RTe%2BOYzUNh8zwyTSbXOylt6XlLq0%2F4qZNn0GTTIXPgZmQBIhF2g2THPdoflxVWKnwngX4xcJx6lKFEYY3%7Ctkp%3ABk9SR9iA3svOZg" TargetMode="External"/><Relationship Id="rId10" Type="http://schemas.openxmlformats.org/officeDocument/2006/relationships/hyperlink" Target="https://www.ebay.co.uk/itm/187246095403?_skw=perfboard&amp;itmmeta=01KA3JK0RX0ZVJFRJ1W9H1621K&amp;hash=item2b98bcac2b:g:KxQAAOSwbl1n5Y2Y&amp;itmprp=enc%3AAQAKAAAA4FkggFvd1GGDu0w3yXCmi1eRXOQJ6YPdkD8BqDuTA5Ory2R5a2hV4%2BVko4Cm5j9ndbwG%2FpXp0uTvZb5rus1vWlpeksYPp6Inx3sYK7Av7%2FRf0xoygC08HnxinASN0joujCvGpXUEDWy4J5%2BtR9PhqE%2FmlyPuwj4KiFk%2BA3AxsW5qk9H%2FSDsebs1L70mTBxe0Hznapt0OCMSlZn5%2FyvuigrqpOQKQ1Z%2FO6JX2YmTbrhvVumjpsrlrLuqjlBVH%2FzMMopyd53fdHETck3AD0Ycj%2Fi446OwbWBvLI4Q3XQXWSy7T%7Ctkp%3ABk9SR-yMzPLQZg" TargetMode="External"/><Relationship Id="rId4" Type="http://schemas.openxmlformats.org/officeDocument/2006/relationships/hyperlink" Target="https://www.ebay.co.uk/itm/157164461171?_skw=solenoid+valve&amp;itmmeta=01K9WJFKZA4FQYDNT6NJ559MTZ&amp;hash=item2497bb5c73:g:nmIAAeSwLO9ocikZ&amp;itmprp=enc%3AAQAKAAAA8FkggFvd1GGDu0w3yXCmi1fm%2BSytAMvgYgFNBcirNbpiNcKed03nUX--JlZqGOsOYdmQqmjMDb3keCTQmMoNLKDjsIC33MdiwSuFn8YWXK6fydiTun2qMUEWXa61xK9YqbPxjfJmuCJTDlVmnRQdDDIO6sl89b4HiODD4VTtgO0oFGNS2rWuCu5yVZdjVKLIYErA7mdJOrXwhcsxvM56zy7QbzSAEBBK9nMqHFqPlYEYlOrLvPPHc16BZVZ9%2B%2BH7mC4eOnsDxxV6idZrzj85b%2BH%2FQHUNQUmz4XY8TMs2xtQVkrP6EQD0TovcKM9QljKVqg%3D%3D%7Ctkp%3ABk9SR_y_vpLPZg" TargetMode="External"/><Relationship Id="rId9" Type="http://schemas.openxmlformats.org/officeDocument/2006/relationships/hyperlink" Target="https://www.ebay.co.uk/itm/317031909654?_skw=water+pump&amp;itmmeta=01K9WK157EJMAS72ZDMAVWABKV&amp;hash=item49d0930916:g:sQMAAeSwHQloXRTq&amp;itmprp=enc%3AAQAKAAAAwFkggFvd1GGDu0w3yXCmi1eKKM0aI%2BR%2BpRpmlOczC7ToXMDQr4gAF9yVHNfA6FQ59xavYiDC5siKoKgw9BdcsKxzeEzRI2Q1tecGf2%2BRNG9%2BMyQd%2B%2FsFkxdpsRNp7jlaYBhWiM1C4Al6klKF2Rr32etOgtDYnHKYEi5lAeEy%2FXffXmaPL7Kn9wtFS2vHcAprqroK1tF1JyOKhAHa9TOlCwGG5cbGOxwwvWcDmR7jPaRSL11mi29L48ilp5o7onImJQ%3D%3D%7Ctkp%3ABk9SR6bUhJPPZ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A867-AF99-4863-B5FF-AF28D5FD4C20}">
  <dimension ref="A1:M37"/>
  <sheetViews>
    <sheetView tabSelected="1" topLeftCell="A19" workbookViewId="0">
      <selection activeCell="K17" sqref="K17"/>
    </sheetView>
  </sheetViews>
  <sheetFormatPr defaultColWidth="20.7109375" defaultRowHeight="24.95" customHeight="1" x14ac:dyDescent="0.25"/>
  <cols>
    <col min="1" max="2" width="20.7109375" style="3"/>
    <col min="3" max="3" width="20.7109375" style="3" customWidth="1"/>
    <col min="4" max="4" width="25.7109375" style="3" customWidth="1"/>
    <col min="5" max="5" width="15.7109375" style="3" customWidth="1"/>
    <col min="6" max="7" width="20.7109375" style="3"/>
    <col min="8" max="9" width="15.7109375" style="3" customWidth="1"/>
    <col min="10" max="10" width="20.7109375" style="3"/>
    <col min="11" max="11" width="20.7109375" style="3" customWidth="1"/>
    <col min="12" max="12" width="15.7109375" style="3" customWidth="1"/>
    <col min="13" max="16384" width="20.7109375" style="3"/>
  </cols>
  <sheetData>
    <row r="1" spans="1:13" customFormat="1" ht="24.95" customHeight="1" x14ac:dyDescent="0.25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3"/>
    </row>
    <row r="2" spans="1:13" customFormat="1" ht="24.95" customHeight="1" x14ac:dyDescent="0.25">
      <c r="A2" s="15" t="s">
        <v>12</v>
      </c>
      <c r="B2" s="15"/>
      <c r="C2" s="15"/>
      <c r="D2" s="15"/>
      <c r="E2" s="15"/>
      <c r="F2" s="15" t="s">
        <v>19</v>
      </c>
      <c r="G2" s="15"/>
      <c r="H2" s="15"/>
      <c r="I2" s="15"/>
      <c r="J2" s="15"/>
      <c r="K2" s="15"/>
      <c r="L2" s="15"/>
      <c r="M2" s="3"/>
    </row>
    <row r="3" spans="1:13" customFormat="1" ht="24.95" customHeight="1" x14ac:dyDescent="0.25">
      <c r="A3" s="2" t="s">
        <v>87</v>
      </c>
      <c r="B3" s="2" t="s">
        <v>0</v>
      </c>
      <c r="C3" s="2" t="s">
        <v>1</v>
      </c>
      <c r="D3" s="2" t="s">
        <v>78</v>
      </c>
      <c r="E3" s="2" t="s">
        <v>77</v>
      </c>
      <c r="F3" s="2" t="s">
        <v>47</v>
      </c>
      <c r="G3" s="2" t="s">
        <v>8</v>
      </c>
      <c r="H3" s="2" t="s">
        <v>5</v>
      </c>
      <c r="I3" s="2" t="s">
        <v>21</v>
      </c>
      <c r="J3" s="2" t="s">
        <v>9</v>
      </c>
      <c r="K3" s="2" t="s">
        <v>25</v>
      </c>
      <c r="L3" s="2" t="s">
        <v>3</v>
      </c>
      <c r="M3" s="3"/>
    </row>
    <row r="4" spans="1:13" ht="24.95" customHeight="1" x14ac:dyDescent="0.25">
      <c r="A4" s="3" t="s">
        <v>49</v>
      </c>
      <c r="C4" s="1"/>
      <c r="D4" s="1" t="s">
        <v>48</v>
      </c>
      <c r="E4" s="1"/>
      <c r="F4" s="6"/>
      <c r="G4" s="6">
        <v>1.1200000000000001</v>
      </c>
      <c r="H4" s="10"/>
      <c r="I4" s="9">
        <v>1</v>
      </c>
      <c r="J4" s="6">
        <f>Table132[[#This Row],[Unit Price]]*Table132[[#This Row],[Needed to Buy]]+Table132[[#This Row],[Shipping]]</f>
        <v>1.1200000000000001</v>
      </c>
      <c r="K4" s="11" t="s">
        <v>50</v>
      </c>
      <c r="L4" s="4" t="s">
        <v>49</v>
      </c>
    </row>
    <row r="5" spans="1:13" ht="24.95" customHeight="1" x14ac:dyDescent="0.25">
      <c r="A5" s="1" t="s">
        <v>34</v>
      </c>
      <c r="B5" s="3" t="s">
        <v>93</v>
      </c>
      <c r="C5" s="3" t="s">
        <v>95</v>
      </c>
      <c r="E5" s="1">
        <v>1</v>
      </c>
      <c r="F5" s="6">
        <v>0.86</v>
      </c>
      <c r="G5" s="6">
        <v>0</v>
      </c>
      <c r="H5" s="10">
        <v>5</v>
      </c>
      <c r="I5" s="9">
        <v>1</v>
      </c>
      <c r="J5" s="6">
        <f>Table132[[#This Row],[Unit Price]]*Table132[[#This Row],[Needed to Buy]]+Table132[[#This Row],[Shipping]]</f>
        <v>0.86</v>
      </c>
      <c r="K5" s="11" t="s">
        <v>34</v>
      </c>
      <c r="L5" s="14"/>
    </row>
    <row r="6" spans="1:13" ht="24.95" customHeight="1" x14ac:dyDescent="0.25">
      <c r="A6" s="1" t="s">
        <v>34</v>
      </c>
      <c r="B6" s="3" t="s">
        <v>94</v>
      </c>
      <c r="C6" s="3" t="s">
        <v>95</v>
      </c>
      <c r="E6" s="1">
        <v>1</v>
      </c>
      <c r="F6" s="6">
        <v>0.86</v>
      </c>
      <c r="G6" s="6">
        <v>0</v>
      </c>
      <c r="H6" s="10">
        <v>5</v>
      </c>
      <c r="I6" s="9">
        <v>1</v>
      </c>
      <c r="J6" s="6">
        <f>Table132[[#This Row],[Unit Price]]*Table132[[#This Row],[Needed to Buy]]+Table132[[#This Row],[Shipping]]</f>
        <v>0.86</v>
      </c>
      <c r="K6" s="11" t="s">
        <v>34</v>
      </c>
      <c r="L6" s="14"/>
    </row>
    <row r="7" spans="1:13" ht="24.95" customHeight="1" x14ac:dyDescent="0.25">
      <c r="A7" s="3" t="s">
        <v>51</v>
      </c>
      <c r="C7" s="1"/>
      <c r="D7" s="1"/>
      <c r="E7" s="1"/>
      <c r="F7" s="6">
        <v>2.2000000000000002</v>
      </c>
      <c r="G7" s="6">
        <v>5.94</v>
      </c>
      <c r="H7" s="10"/>
      <c r="I7" s="9">
        <v>1</v>
      </c>
      <c r="J7" s="6">
        <f>Table132[[#This Row],[Unit Price]]*Table132[[#This Row],[Needed to Buy]]+Table132[[#This Row],[Shipping]]</f>
        <v>8.14</v>
      </c>
      <c r="K7" s="11" t="s">
        <v>52</v>
      </c>
      <c r="L7" s="4" t="s">
        <v>51</v>
      </c>
      <c r="M7" s="1"/>
    </row>
    <row r="8" spans="1:13" ht="24.95" customHeight="1" x14ac:dyDescent="0.25">
      <c r="A8" s="1" t="s">
        <v>34</v>
      </c>
      <c r="B8" s="3" t="s">
        <v>106</v>
      </c>
      <c r="C8" s="3" t="s">
        <v>96</v>
      </c>
      <c r="E8" s="1">
        <v>3</v>
      </c>
      <c r="F8" s="6">
        <v>0.41</v>
      </c>
      <c r="G8" s="6">
        <v>0</v>
      </c>
      <c r="H8" s="10">
        <v>10</v>
      </c>
      <c r="I8" s="9">
        <v>1</v>
      </c>
      <c r="J8" s="6">
        <f>Table132[[#This Row],[Unit Price]]*Table132[[#This Row],[Needed to Buy]]+Table132[[#This Row],[Shipping]]</f>
        <v>0.41</v>
      </c>
      <c r="K8" s="11" t="s">
        <v>34</v>
      </c>
      <c r="L8" s="14" t="s">
        <v>51</v>
      </c>
      <c r="M8" s="1"/>
    </row>
    <row r="9" spans="1:13" ht="24.95" customHeight="1" x14ac:dyDescent="0.25">
      <c r="A9" s="1" t="s">
        <v>34</v>
      </c>
      <c r="B9" s="3" t="s">
        <v>136</v>
      </c>
      <c r="C9" s="3" t="s">
        <v>97</v>
      </c>
      <c r="D9" s="3" t="s">
        <v>137</v>
      </c>
      <c r="E9" s="1">
        <v>1</v>
      </c>
      <c r="F9" s="6">
        <v>0.16</v>
      </c>
      <c r="G9" s="6">
        <v>0</v>
      </c>
      <c r="H9" s="10">
        <v>3</v>
      </c>
      <c r="I9" s="9">
        <v>1</v>
      </c>
      <c r="J9" s="6">
        <f>Table132[[#This Row],[Unit Price]]*Table132[[#This Row],[Needed to Buy]]+Table132[[#This Row],[Shipping]]</f>
        <v>0.16</v>
      </c>
      <c r="K9" s="11" t="s">
        <v>34</v>
      </c>
      <c r="L9" s="14" t="s">
        <v>51</v>
      </c>
      <c r="M9" s="1"/>
    </row>
    <row r="10" spans="1:13" ht="24.95" customHeight="1" x14ac:dyDescent="0.25">
      <c r="A10" s="1" t="s">
        <v>34</v>
      </c>
      <c r="B10" s="3" t="s">
        <v>105</v>
      </c>
      <c r="C10" s="3" t="s">
        <v>98</v>
      </c>
      <c r="E10" s="1">
        <v>3</v>
      </c>
      <c r="F10" s="6">
        <v>0.38</v>
      </c>
      <c r="G10" s="6">
        <v>0</v>
      </c>
      <c r="H10" s="10">
        <v>10</v>
      </c>
      <c r="I10" s="9">
        <v>1</v>
      </c>
      <c r="J10" s="6">
        <f>Table132[[#This Row],[Unit Price]]*Table132[[#This Row],[Needed to Buy]]+Table132[[#This Row],[Shipping]]</f>
        <v>0.38</v>
      </c>
      <c r="K10" s="11" t="s">
        <v>34</v>
      </c>
      <c r="L10" s="14" t="s">
        <v>51</v>
      </c>
      <c r="M10" s="1"/>
    </row>
    <row r="11" spans="1:13" ht="24.95" customHeight="1" x14ac:dyDescent="0.25">
      <c r="A11" s="1" t="s">
        <v>34</v>
      </c>
      <c r="B11" s="3" t="s">
        <v>132</v>
      </c>
      <c r="C11" s="3" t="s">
        <v>99</v>
      </c>
      <c r="D11" s="3" t="s">
        <v>131</v>
      </c>
      <c r="E11" s="1">
        <v>6</v>
      </c>
      <c r="F11" s="6">
        <v>3.22</v>
      </c>
      <c r="G11" s="6">
        <v>0</v>
      </c>
      <c r="H11" s="10">
        <v>15</v>
      </c>
      <c r="I11" s="9">
        <v>1</v>
      </c>
      <c r="J11" s="6">
        <f>Table132[[#This Row],[Unit Price]]*Table132[[#This Row],[Needed to Buy]]+Table132[[#This Row],[Shipping]]</f>
        <v>3.22</v>
      </c>
      <c r="K11" s="11" t="s">
        <v>34</v>
      </c>
      <c r="L11" s="14" t="s">
        <v>51</v>
      </c>
      <c r="M11" s="1"/>
    </row>
    <row r="12" spans="1:13" ht="24.95" customHeight="1" x14ac:dyDescent="0.25">
      <c r="A12" s="1" t="s">
        <v>34</v>
      </c>
      <c r="B12" s="3" t="s">
        <v>134</v>
      </c>
      <c r="C12" s="3" t="s">
        <v>100</v>
      </c>
      <c r="D12" s="3" t="s">
        <v>133</v>
      </c>
      <c r="E12" s="1">
        <v>6</v>
      </c>
      <c r="F12" s="6">
        <v>1.34</v>
      </c>
      <c r="G12" s="6">
        <v>0</v>
      </c>
      <c r="H12" s="10">
        <v>15</v>
      </c>
      <c r="I12" s="9">
        <v>1</v>
      </c>
      <c r="J12" s="6">
        <f>Table132[[#This Row],[Unit Price]]*Table132[[#This Row],[Needed to Buy]]+Table132[[#This Row],[Shipping]]</f>
        <v>1.34</v>
      </c>
      <c r="K12" s="11" t="s">
        <v>34</v>
      </c>
      <c r="L12" s="14" t="s">
        <v>51</v>
      </c>
      <c r="M12" s="1"/>
    </row>
    <row r="13" spans="1:13" ht="24.95" customHeight="1" x14ac:dyDescent="0.25">
      <c r="A13" s="1" t="s">
        <v>34</v>
      </c>
      <c r="B13" s="3" t="s">
        <v>16</v>
      </c>
      <c r="C13" s="3" t="s">
        <v>101</v>
      </c>
      <c r="D13" s="3" t="s">
        <v>135</v>
      </c>
      <c r="E13" s="1">
        <v>1</v>
      </c>
      <c r="F13" s="6">
        <v>0.52</v>
      </c>
      <c r="G13" s="6">
        <v>0</v>
      </c>
      <c r="H13" s="10">
        <v>5</v>
      </c>
      <c r="I13" s="9">
        <v>1</v>
      </c>
      <c r="J13" s="6">
        <f>Table132[[#This Row],[Unit Price]]*Table132[[#This Row],[Needed to Buy]]+Table132[[#This Row],[Shipping]]</f>
        <v>0.52</v>
      </c>
      <c r="K13" s="11" t="s">
        <v>34</v>
      </c>
      <c r="L13" s="14" t="s">
        <v>51</v>
      </c>
      <c r="M13" s="1"/>
    </row>
    <row r="14" spans="1:13" ht="24.95" customHeight="1" x14ac:dyDescent="0.25">
      <c r="A14" s="1" t="s">
        <v>34</v>
      </c>
      <c r="B14" s="3" t="s">
        <v>104</v>
      </c>
      <c r="C14" s="3" t="s">
        <v>102</v>
      </c>
      <c r="E14" s="1">
        <v>1</v>
      </c>
      <c r="F14" s="6">
        <v>0.43</v>
      </c>
      <c r="G14" s="6">
        <v>0</v>
      </c>
      <c r="H14" s="10">
        <v>20</v>
      </c>
      <c r="I14" s="9">
        <v>1</v>
      </c>
      <c r="J14" s="6">
        <f>Table132[[#This Row],[Unit Price]]*Table132[[#This Row],[Needed to Buy]]+Table132[[#This Row],[Shipping]]</f>
        <v>0.43</v>
      </c>
      <c r="K14" s="11" t="s">
        <v>34</v>
      </c>
      <c r="L14" s="14" t="s">
        <v>51</v>
      </c>
      <c r="M14" s="1"/>
    </row>
    <row r="15" spans="1:13" ht="24.95" customHeight="1" x14ac:dyDescent="0.25">
      <c r="A15" s="1" t="s">
        <v>34</v>
      </c>
      <c r="B15" s="3" t="s">
        <v>107</v>
      </c>
      <c r="C15" s="3" t="s">
        <v>103</v>
      </c>
      <c r="E15" s="1">
        <v>1</v>
      </c>
      <c r="F15" s="6">
        <v>0.11</v>
      </c>
      <c r="G15" s="6">
        <v>0</v>
      </c>
      <c r="H15" s="10">
        <v>5</v>
      </c>
      <c r="I15" s="9">
        <v>1</v>
      </c>
      <c r="J15" s="6">
        <f>Table132[[#This Row],[Unit Price]]*Table132[[#This Row],[Needed to Buy]]+Table132[[#This Row],[Shipping]]</f>
        <v>0.11</v>
      </c>
      <c r="K15" s="11" t="s">
        <v>34</v>
      </c>
      <c r="L15" s="14" t="s">
        <v>51</v>
      </c>
      <c r="M15" s="1"/>
    </row>
    <row r="16" spans="1:13" ht="24.95" customHeight="1" x14ac:dyDescent="0.25">
      <c r="B16" s="3" t="s">
        <v>139</v>
      </c>
      <c r="C16" s="3" t="s">
        <v>138</v>
      </c>
      <c r="E16" s="1">
        <v>2</v>
      </c>
      <c r="F16" s="6">
        <v>0.69</v>
      </c>
      <c r="G16" s="6">
        <v>0</v>
      </c>
      <c r="H16" s="10">
        <v>5</v>
      </c>
      <c r="I16" s="9">
        <v>1</v>
      </c>
      <c r="J16" s="16">
        <f>Table132[[#This Row],[Unit Price]]*Table132[[#This Row],[Needed to Buy]]+Table132[[#This Row],[Shipping]]</f>
        <v>0.69</v>
      </c>
      <c r="K16" s="11" t="s">
        <v>34</v>
      </c>
      <c r="L16" s="14" t="s">
        <v>51</v>
      </c>
      <c r="M16" s="1"/>
    </row>
    <row r="17" spans="1:12" ht="24.95" customHeight="1" x14ac:dyDescent="0.25">
      <c r="A17" s="3" t="s">
        <v>85</v>
      </c>
      <c r="E17" s="1"/>
      <c r="F17" s="6"/>
      <c r="G17" s="6"/>
      <c r="H17" s="10"/>
      <c r="I17" s="9">
        <v>1</v>
      </c>
      <c r="J17" s="6">
        <f>Table132[[#This Row],[Unit Price]]*Table132[[#This Row],[Needed to Buy]]+Table132[[#This Row],[Shipping]]</f>
        <v>0</v>
      </c>
      <c r="K17" s="11" t="s">
        <v>129</v>
      </c>
      <c r="L17" s="4" t="s">
        <v>85</v>
      </c>
    </row>
    <row r="18" spans="1:12" ht="24.95" customHeight="1" x14ac:dyDescent="0.25">
      <c r="A18" s="1" t="s">
        <v>34</v>
      </c>
      <c r="B18" s="3" t="s">
        <v>108</v>
      </c>
      <c r="C18" s="3" t="s">
        <v>109</v>
      </c>
      <c r="E18" s="1">
        <v>1</v>
      </c>
      <c r="F18" s="6">
        <v>1.79</v>
      </c>
      <c r="G18" s="6">
        <v>0</v>
      </c>
      <c r="H18" s="10">
        <v>1</v>
      </c>
      <c r="I18" s="9">
        <v>1</v>
      </c>
      <c r="J18" s="6">
        <f>Table132[[#This Row],[Unit Price]]*Table132[[#This Row],[Needed to Buy]]+Table132[[#This Row],[Shipping]]</f>
        <v>1.79</v>
      </c>
      <c r="K18" s="11" t="s">
        <v>34</v>
      </c>
      <c r="L18" s="14" t="s">
        <v>85</v>
      </c>
    </row>
    <row r="19" spans="1:12" ht="24.95" customHeight="1" x14ac:dyDescent="0.25">
      <c r="A19" s="1" t="s">
        <v>34</v>
      </c>
      <c r="B19" s="3" t="s">
        <v>110</v>
      </c>
      <c r="D19" s="3" t="s">
        <v>111</v>
      </c>
      <c r="E19" s="1">
        <v>1</v>
      </c>
      <c r="F19" s="6">
        <v>3.09</v>
      </c>
      <c r="G19" s="6">
        <v>0</v>
      </c>
      <c r="H19" s="10">
        <v>1</v>
      </c>
      <c r="I19" s="9">
        <v>1</v>
      </c>
      <c r="J19" s="6">
        <f>Table132[[#This Row],[Unit Price]]*Table132[[#This Row],[Needed to Buy]]+Table132[[#This Row],[Shipping]]</f>
        <v>3.09</v>
      </c>
      <c r="K19" s="11" t="s">
        <v>34</v>
      </c>
      <c r="L19" s="14" t="s">
        <v>85</v>
      </c>
    </row>
    <row r="20" spans="1:12" ht="24.95" customHeight="1" x14ac:dyDescent="0.25">
      <c r="A20" s="1" t="s">
        <v>34</v>
      </c>
      <c r="B20" s="3" t="s">
        <v>114</v>
      </c>
      <c r="D20" s="3" t="s">
        <v>115</v>
      </c>
      <c r="E20" s="1">
        <v>2</v>
      </c>
      <c r="F20" s="6">
        <v>0.76</v>
      </c>
      <c r="G20" s="6">
        <v>0</v>
      </c>
      <c r="H20" s="10">
        <v>5</v>
      </c>
      <c r="I20" s="9">
        <v>1</v>
      </c>
      <c r="J20" s="6">
        <f>Table132[[#This Row],[Unit Price]]*Table132[[#This Row],[Needed to Buy]]+Table132[[#This Row],[Shipping]]</f>
        <v>0.76</v>
      </c>
      <c r="K20" s="11" t="s">
        <v>34</v>
      </c>
      <c r="L20" s="14" t="s">
        <v>85</v>
      </c>
    </row>
    <row r="21" spans="1:12" ht="24.95" customHeight="1" x14ac:dyDescent="0.25">
      <c r="A21" s="1" t="s">
        <v>34</v>
      </c>
      <c r="B21" s="3" t="s">
        <v>61</v>
      </c>
      <c r="C21" s="3" t="s">
        <v>116</v>
      </c>
      <c r="D21" s="3" t="s">
        <v>117</v>
      </c>
      <c r="E21" s="1">
        <v>2</v>
      </c>
      <c r="F21" s="6">
        <v>1.89</v>
      </c>
      <c r="G21" s="6">
        <v>0</v>
      </c>
      <c r="H21" s="10">
        <v>5</v>
      </c>
      <c r="I21" s="9">
        <v>1</v>
      </c>
      <c r="J21" s="6">
        <f>Table132[[#This Row],[Unit Price]]*Table132[[#This Row],[Needed to Buy]]+Table132[[#This Row],[Shipping]]</f>
        <v>1.89</v>
      </c>
      <c r="K21" s="11" t="s">
        <v>34</v>
      </c>
      <c r="L21" s="14" t="s">
        <v>85</v>
      </c>
    </row>
    <row r="22" spans="1:12" ht="24.95" customHeight="1" x14ac:dyDescent="0.25">
      <c r="A22" s="1" t="s">
        <v>34</v>
      </c>
      <c r="B22" s="3" t="s">
        <v>119</v>
      </c>
      <c r="D22" s="3" t="s">
        <v>118</v>
      </c>
      <c r="E22" s="1">
        <v>2</v>
      </c>
      <c r="F22" s="6">
        <v>1.27</v>
      </c>
      <c r="G22" s="6">
        <v>0</v>
      </c>
      <c r="H22" s="10">
        <v>5</v>
      </c>
      <c r="I22" s="9">
        <v>1</v>
      </c>
      <c r="J22" s="6">
        <f>Table132[[#This Row],[Unit Price]]*Table132[[#This Row],[Needed to Buy]]+Table132[[#This Row],[Shipping]]</f>
        <v>1.27</v>
      </c>
      <c r="K22" s="11" t="s">
        <v>34</v>
      </c>
      <c r="L22" s="14" t="s">
        <v>85</v>
      </c>
    </row>
    <row r="23" spans="1:12" ht="24.95" customHeight="1" x14ac:dyDescent="0.25">
      <c r="A23" s="1" t="s">
        <v>34</v>
      </c>
      <c r="B23" s="3" t="s">
        <v>121</v>
      </c>
      <c r="D23" s="3" t="s">
        <v>122</v>
      </c>
      <c r="E23" s="1">
        <v>1</v>
      </c>
      <c r="F23" s="6">
        <v>0.9</v>
      </c>
      <c r="G23" s="6">
        <v>0</v>
      </c>
      <c r="H23" s="10">
        <v>10</v>
      </c>
      <c r="I23" s="9">
        <v>1</v>
      </c>
      <c r="J23" s="6">
        <f>Table132[[#This Row],[Unit Price]]*Table132[[#This Row],[Needed to Buy]]+Table132[[#This Row],[Shipping]]</f>
        <v>0.9</v>
      </c>
      <c r="K23" s="11" t="s">
        <v>34</v>
      </c>
      <c r="L23" s="14" t="s">
        <v>85</v>
      </c>
    </row>
    <row r="24" spans="1:12" ht="24.95" customHeight="1" x14ac:dyDescent="0.25">
      <c r="A24" s="1" t="s">
        <v>34</v>
      </c>
      <c r="B24" s="3" t="s">
        <v>120</v>
      </c>
      <c r="D24" s="3" t="s">
        <v>122</v>
      </c>
      <c r="E24" s="1">
        <v>2</v>
      </c>
      <c r="F24" s="6">
        <v>1.82</v>
      </c>
      <c r="G24" s="6">
        <v>0</v>
      </c>
      <c r="H24" s="10">
        <v>10</v>
      </c>
      <c r="I24" s="9">
        <v>1</v>
      </c>
      <c r="J24" s="6">
        <f>Table132[[#This Row],[Unit Price]]*Table132[[#This Row],[Needed to Buy]]+Table132[[#This Row],[Shipping]]</f>
        <v>1.82</v>
      </c>
      <c r="K24" s="11" t="s">
        <v>34</v>
      </c>
      <c r="L24" s="14" t="s">
        <v>85</v>
      </c>
    </row>
    <row r="25" spans="1:12" ht="24.95" customHeight="1" x14ac:dyDescent="0.25">
      <c r="A25" s="1" t="s">
        <v>34</v>
      </c>
      <c r="B25" s="3" t="s">
        <v>114</v>
      </c>
      <c r="D25" s="3" t="s">
        <v>123</v>
      </c>
      <c r="E25" s="1">
        <v>3</v>
      </c>
      <c r="F25" s="6">
        <v>2.0099999999999998</v>
      </c>
      <c r="G25" s="6">
        <v>0</v>
      </c>
      <c r="H25" s="10">
        <v>5</v>
      </c>
      <c r="I25" s="9">
        <v>1</v>
      </c>
      <c r="J25" s="6">
        <f>Table132[[#This Row],[Unit Price]]*Table132[[#This Row],[Needed to Buy]]+Table132[[#This Row],[Shipping]]</f>
        <v>2.0099999999999998</v>
      </c>
      <c r="K25" s="11" t="s">
        <v>34</v>
      </c>
      <c r="L25" s="14" t="s">
        <v>85</v>
      </c>
    </row>
    <row r="26" spans="1:12" ht="24.95" customHeight="1" x14ac:dyDescent="0.25">
      <c r="A26" s="1" t="s">
        <v>34</v>
      </c>
      <c r="B26" s="3" t="s">
        <v>68</v>
      </c>
      <c r="C26" s="3" t="s">
        <v>69</v>
      </c>
      <c r="D26" s="3" t="s">
        <v>124</v>
      </c>
      <c r="E26" s="1">
        <v>1</v>
      </c>
      <c r="F26" s="6">
        <v>3.83</v>
      </c>
      <c r="G26" s="6">
        <v>0</v>
      </c>
      <c r="H26" s="10">
        <v>1</v>
      </c>
      <c r="I26" s="9">
        <v>1</v>
      </c>
      <c r="J26" s="6">
        <f>Table132[[#This Row],[Unit Price]]*Table132[[#This Row],[Needed to Buy]]+Table132[[#This Row],[Shipping]]</f>
        <v>3.83</v>
      </c>
      <c r="K26" s="11" t="s">
        <v>34</v>
      </c>
      <c r="L26" s="14" t="s">
        <v>85</v>
      </c>
    </row>
    <row r="27" spans="1:12" ht="24.95" customHeight="1" x14ac:dyDescent="0.25">
      <c r="A27" s="1" t="s">
        <v>34</v>
      </c>
      <c r="B27" s="3" t="s">
        <v>66</v>
      </c>
      <c r="C27" s="3" t="s">
        <v>125</v>
      </c>
      <c r="D27" s="3" t="s">
        <v>126</v>
      </c>
      <c r="E27" s="1">
        <v>2</v>
      </c>
      <c r="F27" s="6">
        <v>3.08</v>
      </c>
      <c r="G27" s="6">
        <v>0</v>
      </c>
      <c r="H27" s="10">
        <v>1</v>
      </c>
      <c r="I27" s="9">
        <v>2</v>
      </c>
      <c r="J27" s="6">
        <f>Table132[[#This Row],[Unit Price]]*Table132[[#This Row],[Needed to Buy]]+Table132[[#This Row],[Shipping]]</f>
        <v>6.16</v>
      </c>
      <c r="K27" s="11" t="s">
        <v>34</v>
      </c>
      <c r="L27" s="14" t="s">
        <v>85</v>
      </c>
    </row>
    <row r="28" spans="1:12" ht="24.95" customHeight="1" x14ac:dyDescent="0.25">
      <c r="A28" s="1" t="s">
        <v>34</v>
      </c>
      <c r="B28" s="3" t="s">
        <v>55</v>
      </c>
      <c r="C28" s="3" t="s">
        <v>127</v>
      </c>
      <c r="E28" s="1">
        <v>1</v>
      </c>
      <c r="F28" s="6">
        <v>1.94</v>
      </c>
      <c r="G28" s="6">
        <v>0</v>
      </c>
      <c r="H28" s="10">
        <v>1</v>
      </c>
      <c r="I28" s="9">
        <v>1</v>
      </c>
      <c r="J28" s="6">
        <f>Table132[[#This Row],[Unit Price]]*Table132[[#This Row],[Needed to Buy]]+Table132[[#This Row],[Shipping]]</f>
        <v>1.94</v>
      </c>
      <c r="K28" s="11" t="s">
        <v>34</v>
      </c>
      <c r="L28" s="14" t="s">
        <v>85</v>
      </c>
    </row>
    <row r="29" spans="1:12" ht="24.95" customHeight="1" x14ac:dyDescent="0.25">
      <c r="A29" s="1" t="s">
        <v>34</v>
      </c>
      <c r="B29" s="3" t="s">
        <v>58</v>
      </c>
      <c r="C29" s="3">
        <v>5050100</v>
      </c>
      <c r="D29" s="3" t="s">
        <v>128</v>
      </c>
      <c r="E29" s="1">
        <v>1</v>
      </c>
      <c r="F29" s="6">
        <v>5.99</v>
      </c>
      <c r="G29" s="6">
        <v>2.81</v>
      </c>
      <c r="H29" s="10">
        <v>1</v>
      </c>
      <c r="I29" s="9">
        <v>1</v>
      </c>
      <c r="J29" s="6">
        <f>Table132[[#This Row],[Unit Price]]*Table132[[#This Row],[Needed to Buy]]+Table132[[#This Row],[Shipping]]</f>
        <v>8.8000000000000007</v>
      </c>
      <c r="K29" s="11" t="s">
        <v>130</v>
      </c>
      <c r="L29" s="14" t="s">
        <v>85</v>
      </c>
    </row>
    <row r="30" spans="1:12" ht="24.95" customHeight="1" x14ac:dyDescent="0.25">
      <c r="A30" s="3" t="s">
        <v>36</v>
      </c>
      <c r="E30" s="1"/>
      <c r="F30" s="6"/>
      <c r="G30" s="6"/>
      <c r="H30" s="10"/>
      <c r="I30" s="9">
        <v>1</v>
      </c>
      <c r="J30" s="6">
        <f>Table132[[#This Row],[Unit Price]]*Table132[[#This Row],[Needed to Buy]]+Table132[[#This Row],[Shipping]]</f>
        <v>0</v>
      </c>
      <c r="K30" s="11"/>
      <c r="L30" s="4" t="s">
        <v>36</v>
      </c>
    </row>
    <row r="31" spans="1:12" ht="24.95" customHeight="1" x14ac:dyDescent="0.25">
      <c r="A31" s="1" t="s">
        <v>34</v>
      </c>
      <c r="B31" s="3" t="s">
        <v>15</v>
      </c>
      <c r="C31" s="3" t="s">
        <v>45</v>
      </c>
      <c r="E31" s="1">
        <v>1</v>
      </c>
      <c r="F31" s="6">
        <v>5.95</v>
      </c>
      <c r="G31" s="6">
        <v>0</v>
      </c>
      <c r="H31" s="10">
        <v>1</v>
      </c>
      <c r="I31" s="9">
        <v>1</v>
      </c>
      <c r="J31" s="6">
        <f>Table132[[#This Row],[Unit Price]]*Table132[[#This Row],[Needed to Buy]]+Table132[[#This Row],[Shipping]]</f>
        <v>5.95</v>
      </c>
      <c r="K31" s="11" t="s">
        <v>46</v>
      </c>
      <c r="L31" s="14" t="s">
        <v>36</v>
      </c>
    </row>
    <row r="32" spans="1:12" ht="24.95" customHeight="1" x14ac:dyDescent="0.25">
      <c r="A32" s="1" t="s">
        <v>34</v>
      </c>
      <c r="B32" s="3" t="s">
        <v>59</v>
      </c>
      <c r="D32" s="3" t="s">
        <v>62</v>
      </c>
      <c r="E32" s="1">
        <v>1</v>
      </c>
      <c r="F32" s="6">
        <v>2.88</v>
      </c>
      <c r="G32" s="6">
        <v>1.66</v>
      </c>
      <c r="H32" s="10">
        <v>1</v>
      </c>
      <c r="I32" s="9">
        <v>1</v>
      </c>
      <c r="J32" s="6">
        <f>Table132[[#This Row],[Unit Price]]*Table132[[#This Row],[Needed to Buy]]+Table132[[#This Row],[Shipping]]</f>
        <v>4.54</v>
      </c>
      <c r="K32" s="11" t="s">
        <v>60</v>
      </c>
      <c r="L32" s="14" t="s">
        <v>36</v>
      </c>
    </row>
    <row r="33" spans="1:12" ht="24.95" customHeight="1" x14ac:dyDescent="0.25">
      <c r="A33" s="1" t="s">
        <v>34</v>
      </c>
      <c r="B33" s="3" t="s">
        <v>64</v>
      </c>
      <c r="D33" s="3" t="s">
        <v>65</v>
      </c>
      <c r="E33" s="1">
        <v>1</v>
      </c>
      <c r="F33" s="6">
        <v>2.74</v>
      </c>
      <c r="G33" s="6">
        <v>0</v>
      </c>
      <c r="H33" s="10">
        <v>1</v>
      </c>
      <c r="I33" s="9">
        <v>1</v>
      </c>
      <c r="J33" s="6">
        <f>Table132[[#This Row],[Unit Price]]*Table132[[#This Row],[Needed to Buy]]+Table132[[#This Row],[Shipping]]</f>
        <v>2.74</v>
      </c>
      <c r="K33" s="11" t="s">
        <v>57</v>
      </c>
      <c r="L33" s="14" t="s">
        <v>36</v>
      </c>
    </row>
    <row r="34" spans="1:12" ht="24.95" customHeight="1" x14ac:dyDescent="0.25">
      <c r="A34" s="1" t="s">
        <v>34</v>
      </c>
      <c r="B34" s="3" t="s">
        <v>110</v>
      </c>
      <c r="D34" s="3" t="s">
        <v>112</v>
      </c>
      <c r="E34" s="1">
        <v>1</v>
      </c>
      <c r="F34" s="6">
        <v>3.8</v>
      </c>
      <c r="G34" s="6">
        <v>0</v>
      </c>
      <c r="H34" s="10">
        <v>1</v>
      </c>
      <c r="I34" s="9">
        <v>1</v>
      </c>
      <c r="J34" s="6">
        <f>Table132[[#This Row],[Unit Price]]*Table132[[#This Row],[Needed to Buy]]+Table132[[#This Row],[Shipping]]</f>
        <v>3.8</v>
      </c>
      <c r="K34" s="11" t="s">
        <v>23</v>
      </c>
      <c r="L34" s="14" t="s">
        <v>36</v>
      </c>
    </row>
    <row r="35" spans="1:12" ht="24.95" customHeight="1" x14ac:dyDescent="0.25">
      <c r="A35" s="1" t="s">
        <v>34</v>
      </c>
      <c r="B35" s="3" t="s">
        <v>113</v>
      </c>
      <c r="D35" s="3" t="s">
        <v>92</v>
      </c>
      <c r="E35" s="1">
        <v>2</v>
      </c>
      <c r="F35" s="6">
        <v>3.99</v>
      </c>
      <c r="G35" s="6">
        <v>0</v>
      </c>
      <c r="H35" s="10">
        <v>2</v>
      </c>
      <c r="I35" s="9">
        <v>1</v>
      </c>
      <c r="J35" s="6">
        <f>Table132[[#This Row],[Unit Price]]*Table132[[#This Row],[Needed to Buy]]+Table132[[#This Row],[Shipping]]</f>
        <v>3.99</v>
      </c>
      <c r="K35" s="11" t="s">
        <v>23</v>
      </c>
      <c r="L35" s="14" t="s">
        <v>36</v>
      </c>
    </row>
    <row r="36" spans="1:12" ht="24.95" customHeight="1" x14ac:dyDescent="0.25">
      <c r="A36" s="3" t="s">
        <v>88</v>
      </c>
      <c r="B36" s="3" t="s">
        <v>84</v>
      </c>
      <c r="D36" s="3" t="s">
        <v>82</v>
      </c>
      <c r="E36" s="1">
        <v>1</v>
      </c>
      <c r="F36" s="6">
        <v>0</v>
      </c>
      <c r="G36" s="6">
        <v>0</v>
      </c>
      <c r="H36" s="10"/>
      <c r="I36" s="9">
        <v>1</v>
      </c>
      <c r="J36" s="6">
        <f>Table132[[#This Row],[Unit Price]]*Table132[[#This Row],[Needed to Buy]]+Table132[[#This Row],[Shipping]]</f>
        <v>0</v>
      </c>
      <c r="K36" s="11" t="s">
        <v>44</v>
      </c>
      <c r="L36" s="4"/>
    </row>
    <row r="37" spans="1:12" ht="24.95" customHeight="1" x14ac:dyDescent="0.25">
      <c r="A37" s="3" t="s">
        <v>6</v>
      </c>
      <c r="E37"/>
      <c r="F37" s="1"/>
      <c r="G37" s="1"/>
      <c r="H37" s="1"/>
      <c r="I37" s="1"/>
      <c r="J37" s="8">
        <f>SUM(Table132[Total Price])</f>
        <v>73.52</v>
      </c>
      <c r="K37" s="8"/>
      <c r="L37" s="5"/>
    </row>
  </sheetData>
  <mergeCells count="3">
    <mergeCell ref="A1:L1"/>
    <mergeCell ref="A2:E2"/>
    <mergeCell ref="F2:L2"/>
  </mergeCells>
  <phoneticPr fontId="5" type="noConversion"/>
  <hyperlinks>
    <hyperlink ref="L31" r:id="rId1" xr:uid="{4DDFA626-C1E3-4458-92A2-B7D165A0519C}"/>
    <hyperlink ref="L7" r:id="rId2" xr:uid="{5ABDACB3-B3F4-4F86-99EC-4AA62FA84D21}"/>
    <hyperlink ref="L17" r:id="rId3" xr:uid="{6459CE0B-A281-4375-9C7C-05121ADE6BE2}"/>
    <hyperlink ref="L32" r:id="rId4" xr:uid="{018F4AFE-A58A-48E7-A5D8-D49BBBA7AF38}"/>
    <hyperlink ref="L33" r:id="rId5" xr:uid="{84533807-29E2-4CAA-84C9-34900C15055C}"/>
    <hyperlink ref="L35" r:id="rId6" xr:uid="{C14D6FD1-AEE2-4ECD-A527-6196769534BB}"/>
    <hyperlink ref="L34" r:id="rId7" xr:uid="{1D36EC75-443F-4CE4-BE91-6BDDFCDE7D8D}"/>
    <hyperlink ref="L4" r:id="rId8" xr:uid="{EA2BF17E-AEDD-418F-B946-1A51F7ADFB2B}"/>
    <hyperlink ref="L30" r:id="rId9" xr:uid="{D1B46D99-B5EC-4C8E-9224-FE4D594B95AA}"/>
    <hyperlink ref="L9" r:id="rId10" xr:uid="{0BF92FBB-E3CA-4ECC-840E-E24C686BC1A2}"/>
    <hyperlink ref="L10" r:id="rId11" xr:uid="{760BC1CB-8B4B-441B-8268-FA0F281806D5}"/>
    <hyperlink ref="L11" r:id="rId12" xr:uid="{530527DC-ED80-45C6-AB9A-5EA3FB072465}"/>
    <hyperlink ref="L12" r:id="rId13" xr:uid="{7CAF7B79-8CAB-4E9D-AD8C-A7FE50B8F23A}"/>
    <hyperlink ref="L13" r:id="rId14" xr:uid="{58E9F810-BF75-4A68-AAE9-F530F03DE5A6}"/>
    <hyperlink ref="L14" r:id="rId15" xr:uid="{6BB873C0-FB4F-4330-BB12-175233D75E85}"/>
    <hyperlink ref="L15" r:id="rId16" xr:uid="{C03B4D72-2A69-43BB-9CB2-3540A8576489}"/>
    <hyperlink ref="L8" r:id="rId17" xr:uid="{419A9A14-A395-4481-B657-4D8207AD2077}"/>
    <hyperlink ref="L18:L29" r:id="rId18" display="AliExpress" xr:uid="{3A0D5842-A681-46B6-B65F-70C433481904}"/>
    <hyperlink ref="L18" r:id="rId19" xr:uid="{0C9AD063-EF43-48EE-B6D6-5A087B2D2756}"/>
    <hyperlink ref="L19" r:id="rId20" xr:uid="{EE0CEFE6-9DCA-41E4-B625-3DA2B66AF10C}"/>
    <hyperlink ref="L20" r:id="rId21" xr:uid="{922FB6AA-7CFB-45FA-96E3-C92762136D40}"/>
    <hyperlink ref="L21" r:id="rId22" xr:uid="{4BDAA4AD-9A6F-443B-87ED-AE2AB83DBC61}"/>
    <hyperlink ref="L22" r:id="rId23" xr:uid="{55BFF63F-1C91-4847-AA5F-A9ABF2839F31}"/>
    <hyperlink ref="L23" r:id="rId24" xr:uid="{514B2E75-1B20-48E9-9CA0-76EF130FB9D3}"/>
    <hyperlink ref="L24" r:id="rId25" xr:uid="{A0BEE243-3D46-4667-9B2B-52390856EBA5}"/>
    <hyperlink ref="L25" r:id="rId26" xr:uid="{F7007339-A6F3-46FB-B47A-24C34A4B58ED}"/>
    <hyperlink ref="L26" r:id="rId27" xr:uid="{84F3E837-CB20-4605-8A34-25AD337BB1E9}"/>
    <hyperlink ref="L27" r:id="rId28" xr:uid="{5580C55D-C0BE-426D-BADE-687677D952FD}"/>
    <hyperlink ref="L28" r:id="rId29" xr:uid="{0DA4CC6C-2226-45B9-B3BA-364C2DFD53EF}"/>
    <hyperlink ref="L29" r:id="rId30" xr:uid="{7605B771-EC4A-4575-8456-9FE46D229D2F}"/>
    <hyperlink ref="L16" r:id="rId31" xr:uid="{E588467F-8875-4F3D-BA7E-9367A9B8D12C}"/>
  </hyperlinks>
  <pageMargins left="0.7" right="0.7" top="0.75" bottom="0.75" header="0.3" footer="0.3"/>
  <tableParts count="1">
    <tablePart r:id="rId3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66EC-49D9-49EE-80AF-E86C05C8DBDB}">
  <dimension ref="A1:J9"/>
  <sheetViews>
    <sheetView workbookViewId="0">
      <selection activeCell="G5" sqref="G5"/>
    </sheetView>
  </sheetViews>
  <sheetFormatPr defaultColWidth="20.7109375" defaultRowHeight="24.95" customHeight="1" x14ac:dyDescent="0.25"/>
  <cols>
    <col min="1" max="1" width="20.7109375" style="3"/>
    <col min="2" max="2" width="25.7109375" style="3" customWidth="1"/>
    <col min="3" max="3" width="15.7109375" style="3" customWidth="1"/>
    <col min="4" max="5" width="20.7109375" style="3"/>
    <col min="6" max="6" width="15.7109375" style="3" customWidth="1"/>
    <col min="7" max="8" width="20.7109375" style="3"/>
    <col min="9" max="9" width="10.7109375" style="3" customWidth="1"/>
    <col min="10" max="10" width="20.7109375" style="3" customWidth="1"/>
    <col min="11" max="16384" width="20.7109375" style="3"/>
  </cols>
  <sheetData>
    <row r="1" spans="1:10" customFormat="1" ht="24.95" customHeight="1" x14ac:dyDescent="0.25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3"/>
    </row>
    <row r="2" spans="1:10" customFormat="1" ht="24.95" customHeight="1" x14ac:dyDescent="0.25">
      <c r="A2" s="15" t="s">
        <v>12</v>
      </c>
      <c r="B2" s="15"/>
      <c r="C2" s="15"/>
      <c r="D2" s="15" t="s">
        <v>19</v>
      </c>
      <c r="E2" s="15"/>
      <c r="F2" s="15"/>
      <c r="G2" s="15"/>
      <c r="H2" s="15"/>
      <c r="I2" s="15"/>
      <c r="J2" s="3"/>
    </row>
    <row r="3" spans="1:10" customFormat="1" ht="24.95" customHeight="1" x14ac:dyDescent="0.25">
      <c r="A3" s="2" t="s">
        <v>89</v>
      </c>
      <c r="B3" s="2" t="s">
        <v>78</v>
      </c>
      <c r="C3" s="2" t="s">
        <v>77</v>
      </c>
      <c r="D3" s="2" t="s">
        <v>47</v>
      </c>
      <c r="E3" s="2" t="s">
        <v>8</v>
      </c>
      <c r="F3" s="2" t="s">
        <v>21</v>
      </c>
      <c r="G3" s="2" t="s">
        <v>9</v>
      </c>
      <c r="H3" s="2" t="s">
        <v>25</v>
      </c>
      <c r="I3" s="2" t="s">
        <v>3</v>
      </c>
      <c r="J3" s="3"/>
    </row>
    <row r="4" spans="1:10" ht="24.95" customHeight="1" x14ac:dyDescent="0.25">
      <c r="A4" s="3" t="s">
        <v>49</v>
      </c>
      <c r="B4" s="3" t="s">
        <v>48</v>
      </c>
      <c r="C4" s="1">
        <v>2</v>
      </c>
      <c r="D4" s="6">
        <v>1.72</v>
      </c>
      <c r="E4" s="6">
        <v>1.1200000000000001</v>
      </c>
      <c r="F4" s="9">
        <v>1</v>
      </c>
      <c r="G4" s="6">
        <f>Table1325[[#This Row],[Unit Price]]*Table1325[[#This Row],[Needed to Buy]]+Table1325[[#This Row],[Shipping]]</f>
        <v>2.84</v>
      </c>
      <c r="H4" s="11" t="s">
        <v>50</v>
      </c>
      <c r="I4" s="4" t="s">
        <v>49</v>
      </c>
    </row>
    <row r="5" spans="1:10" ht="24.95" customHeight="1" x14ac:dyDescent="0.25">
      <c r="A5" s="3" t="s">
        <v>51</v>
      </c>
      <c r="B5" s="3" t="s">
        <v>90</v>
      </c>
      <c r="C5" s="1">
        <v>8</v>
      </c>
      <c r="D5" s="6">
        <v>9.5299999999999994</v>
      </c>
      <c r="E5" s="6">
        <v>5.94</v>
      </c>
      <c r="F5" s="9">
        <v>1</v>
      </c>
      <c r="G5" s="6">
        <f>Table1325[[#This Row],[Unit Price]]*Table1325[[#This Row],[Needed to Buy]]+Table1325[[#This Row],[Shipping]]</f>
        <v>15.469999999999999</v>
      </c>
      <c r="H5" s="11" t="s">
        <v>52</v>
      </c>
      <c r="I5" s="4" t="s">
        <v>51</v>
      </c>
      <c r="J5" s="1"/>
    </row>
    <row r="6" spans="1:10" ht="24.95" customHeight="1" x14ac:dyDescent="0.25">
      <c r="A6" s="3" t="s">
        <v>85</v>
      </c>
      <c r="B6" s="3" t="s">
        <v>91</v>
      </c>
      <c r="C6" s="1">
        <v>12</v>
      </c>
      <c r="D6" s="6">
        <v>31.45</v>
      </c>
      <c r="E6" s="6">
        <v>2.81</v>
      </c>
      <c r="F6" s="9">
        <v>1</v>
      </c>
      <c r="G6" s="6">
        <f>Table1325[[#This Row],[Unit Price]]*Table1325[[#This Row],[Needed to Buy]]+Table1325[[#This Row],[Shipping]]</f>
        <v>34.26</v>
      </c>
      <c r="H6" s="11" t="s">
        <v>86</v>
      </c>
      <c r="I6" s="4" t="s">
        <v>85</v>
      </c>
    </row>
    <row r="7" spans="1:10" ht="24.95" customHeight="1" x14ac:dyDescent="0.25">
      <c r="A7" s="3" t="s">
        <v>36</v>
      </c>
      <c r="B7" s="3" t="s">
        <v>91</v>
      </c>
      <c r="C7" s="1">
        <v>5</v>
      </c>
      <c r="D7" s="6">
        <v>19.5</v>
      </c>
      <c r="E7" s="6">
        <v>1.66</v>
      </c>
      <c r="F7" s="9">
        <v>1</v>
      </c>
      <c r="G7" s="6">
        <f>Table1325[[#This Row],[Unit Price]]*Table1325[[#This Row],[Needed to Buy]]+Table1325[[#This Row],[Shipping]]</f>
        <v>21.16</v>
      </c>
      <c r="H7" s="11" t="s">
        <v>63</v>
      </c>
      <c r="I7" s="4" t="s">
        <v>36</v>
      </c>
    </row>
    <row r="8" spans="1:10" ht="24.95" customHeight="1" x14ac:dyDescent="0.25">
      <c r="A8" s="3" t="s">
        <v>84</v>
      </c>
      <c r="B8" s="3" t="s">
        <v>82</v>
      </c>
      <c r="C8" s="1">
        <v>2</v>
      </c>
      <c r="D8" s="6">
        <v>0</v>
      </c>
      <c r="E8" s="6">
        <v>0</v>
      </c>
      <c r="F8" s="9">
        <v>1</v>
      </c>
      <c r="G8" s="6">
        <f>Table1325[[#This Row],[Unit Price]]*Table1325[[#This Row],[Needed to Buy]]+Table1325[[#This Row],[Shipping]]</f>
        <v>0</v>
      </c>
      <c r="H8" s="11" t="s">
        <v>44</v>
      </c>
      <c r="I8" s="4"/>
    </row>
    <row r="9" spans="1:10" ht="24.95" customHeight="1" x14ac:dyDescent="0.25">
      <c r="A9" s="3" t="s">
        <v>6</v>
      </c>
      <c r="C9"/>
      <c r="D9" s="1"/>
      <c r="E9" s="1"/>
      <c r="F9" s="1"/>
      <c r="G9" s="8">
        <f>SUM(Table1325[Total Price])</f>
        <v>73.72999999999999</v>
      </c>
      <c r="H9" s="8"/>
      <c r="I9" s="5"/>
    </row>
  </sheetData>
  <mergeCells count="3">
    <mergeCell ref="A1:I1"/>
    <mergeCell ref="A2:C2"/>
    <mergeCell ref="D2:I2"/>
  </mergeCells>
  <phoneticPr fontId="5" type="noConversion"/>
  <hyperlinks>
    <hyperlink ref="I4" r:id="rId1" xr:uid="{8A561FCD-3E62-4326-AC8C-BA6F7DA8F968}"/>
    <hyperlink ref="I5" r:id="rId2" xr:uid="{4EEF68E0-6BE1-4A49-A727-CB71B6A61A5C}"/>
    <hyperlink ref="I6" r:id="rId3" xr:uid="{FEE499EA-0091-42D0-88E0-7DCF10BB4B63}"/>
    <hyperlink ref="I7" r:id="rId4" xr:uid="{63606D5D-FCBC-4DDF-A88A-CE7D04B70A8D}"/>
  </hyperlinks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D644-F07B-4B07-BA89-84498DA20E66}">
  <dimension ref="A1:L19"/>
  <sheetViews>
    <sheetView workbookViewId="0">
      <selection activeCell="B6" sqref="B6"/>
    </sheetView>
  </sheetViews>
  <sheetFormatPr defaultColWidth="20.7109375" defaultRowHeight="24.95" customHeight="1" x14ac:dyDescent="0.25"/>
  <cols>
    <col min="1" max="1" width="20.7109375" style="3"/>
    <col min="2" max="2" width="20.7109375" style="3" customWidth="1"/>
    <col min="3" max="3" width="25.7109375" style="3" customWidth="1"/>
    <col min="4" max="4" width="15.7109375" style="3" customWidth="1"/>
    <col min="5" max="6" width="20.7109375" style="3"/>
    <col min="7" max="8" width="15.7109375" style="3" customWidth="1"/>
    <col min="9" max="10" width="20.7109375" style="3"/>
    <col min="11" max="11" width="10.7109375" style="3" customWidth="1"/>
    <col min="12" max="16384" width="20.7109375" style="3"/>
  </cols>
  <sheetData>
    <row r="1" spans="1:12" customFormat="1" ht="24.95" customHeight="1" x14ac:dyDescent="0.25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3"/>
    </row>
    <row r="2" spans="1:12" customFormat="1" ht="24.95" customHeight="1" x14ac:dyDescent="0.25">
      <c r="A2" s="15" t="s">
        <v>12</v>
      </c>
      <c r="B2" s="15"/>
      <c r="C2" s="15"/>
      <c r="D2" s="15"/>
      <c r="E2" s="15" t="s">
        <v>19</v>
      </c>
      <c r="F2" s="15"/>
      <c r="G2" s="15"/>
      <c r="H2" s="15"/>
      <c r="I2" s="15"/>
      <c r="J2" s="15"/>
      <c r="K2" s="15"/>
      <c r="L2" s="3"/>
    </row>
    <row r="3" spans="1:12" customFormat="1" ht="24.95" customHeight="1" x14ac:dyDescent="0.25">
      <c r="A3" s="2" t="s">
        <v>0</v>
      </c>
      <c r="B3" s="2" t="s">
        <v>1</v>
      </c>
      <c r="C3" s="2" t="s">
        <v>78</v>
      </c>
      <c r="D3" s="2" t="s">
        <v>77</v>
      </c>
      <c r="E3" s="2" t="s">
        <v>47</v>
      </c>
      <c r="F3" s="2" t="s">
        <v>8</v>
      </c>
      <c r="G3" s="2" t="s">
        <v>5</v>
      </c>
      <c r="H3" s="2" t="s">
        <v>21</v>
      </c>
      <c r="I3" s="2" t="s">
        <v>9</v>
      </c>
      <c r="J3" s="2" t="s">
        <v>25</v>
      </c>
      <c r="K3" s="2" t="s">
        <v>3</v>
      </c>
      <c r="L3" s="3"/>
    </row>
    <row r="4" spans="1:12" ht="24.95" customHeight="1" x14ac:dyDescent="0.25">
      <c r="A4" s="3" t="s">
        <v>15</v>
      </c>
      <c r="B4" s="3" t="s">
        <v>45</v>
      </c>
      <c r="D4" s="1">
        <v>1</v>
      </c>
      <c r="E4" s="6">
        <v>5.95</v>
      </c>
      <c r="F4" s="6">
        <v>0</v>
      </c>
      <c r="G4" s="10">
        <v>1</v>
      </c>
      <c r="H4" s="9">
        <v>1</v>
      </c>
      <c r="I4" s="6">
        <f>Table1324[[#This Row],[Unit Price]]*Table1324[[#This Row],[Needed to Buy]]+Table1324[[#This Row],[Shipping]]</f>
        <v>5.95</v>
      </c>
      <c r="J4" s="11" t="s">
        <v>46</v>
      </c>
      <c r="K4" s="4" t="s">
        <v>36</v>
      </c>
    </row>
    <row r="5" spans="1:12" ht="24.95" customHeight="1" x14ac:dyDescent="0.25">
      <c r="A5" s="3" t="s">
        <v>48</v>
      </c>
      <c r="B5" s="1"/>
      <c r="C5" s="1"/>
      <c r="D5" s="1">
        <v>2</v>
      </c>
      <c r="E5" s="6">
        <v>1.72</v>
      </c>
      <c r="F5" s="6">
        <v>1.1200000000000001</v>
      </c>
      <c r="G5" s="10">
        <v>10</v>
      </c>
      <c r="H5" s="9">
        <v>1</v>
      </c>
      <c r="I5" s="6">
        <f>Table1324[[#This Row],[Unit Price]]*Table1324[[#This Row],[Needed to Buy]]+Table1324[[#This Row],[Shipping]]</f>
        <v>2.84</v>
      </c>
      <c r="J5" s="11" t="s">
        <v>50</v>
      </c>
      <c r="K5" s="4" t="s">
        <v>49</v>
      </c>
    </row>
    <row r="6" spans="1:12" ht="24.95" customHeight="1" x14ac:dyDescent="0.25">
      <c r="A6" s="3" t="s">
        <v>53</v>
      </c>
      <c r="B6" s="1"/>
      <c r="C6" s="1"/>
      <c r="D6" s="1"/>
      <c r="E6" s="6">
        <v>6.86</v>
      </c>
      <c r="F6" s="6">
        <v>5.0999999999999996</v>
      </c>
      <c r="G6" s="10">
        <v>1</v>
      </c>
      <c r="H6" s="9">
        <v>1</v>
      </c>
      <c r="I6" s="6">
        <f>Table1324[[#This Row],[Unit Price]]*Table1324[[#This Row],[Needed to Buy]]+Table1324[[#This Row],[Shipping]]</f>
        <v>11.96</v>
      </c>
      <c r="J6" s="11" t="s">
        <v>52</v>
      </c>
      <c r="K6" s="4" t="s">
        <v>51</v>
      </c>
      <c r="L6" s="1" t="s">
        <v>76</v>
      </c>
    </row>
    <row r="7" spans="1:12" ht="24.95" customHeight="1" x14ac:dyDescent="0.25">
      <c r="A7" s="3" t="s">
        <v>7</v>
      </c>
      <c r="B7" s="3" t="s">
        <v>54</v>
      </c>
      <c r="C7" s="3" t="s">
        <v>81</v>
      </c>
      <c r="D7" s="1">
        <v>1</v>
      </c>
      <c r="E7" s="6">
        <v>3.49</v>
      </c>
      <c r="F7" s="6">
        <v>0</v>
      </c>
      <c r="G7" s="10">
        <v>1</v>
      </c>
      <c r="H7" s="9">
        <v>1</v>
      </c>
      <c r="I7" s="6">
        <f>Table1324[[#This Row],[Unit Price]]*Table1324[[#This Row],[Needed to Buy]]+Table1324[[#This Row],[Shipping]]</f>
        <v>3.49</v>
      </c>
      <c r="J7" s="11" t="s">
        <v>23</v>
      </c>
      <c r="K7" s="4" t="s">
        <v>36</v>
      </c>
    </row>
    <row r="8" spans="1:12" ht="24.95" customHeight="1" x14ac:dyDescent="0.25">
      <c r="A8" s="3" t="s">
        <v>55</v>
      </c>
      <c r="B8" s="3" t="s">
        <v>56</v>
      </c>
      <c r="D8" s="1">
        <v>1</v>
      </c>
      <c r="E8" s="6">
        <v>2.2200000000000002</v>
      </c>
      <c r="F8" s="6">
        <v>0</v>
      </c>
      <c r="G8" s="10">
        <v>1</v>
      </c>
      <c r="H8" s="9">
        <v>1</v>
      </c>
      <c r="I8" s="6">
        <f>Table1324[[#This Row],[Unit Price]]*Table1324[[#This Row],[Needed to Buy]]+Table1324[[#This Row],[Shipping]]</f>
        <v>2.2200000000000002</v>
      </c>
      <c r="J8" s="11" t="s">
        <v>57</v>
      </c>
      <c r="K8" s="4" t="s">
        <v>36</v>
      </c>
    </row>
    <row r="9" spans="1:12" ht="24.95" customHeight="1" x14ac:dyDescent="0.25">
      <c r="A9" s="3" t="s">
        <v>58</v>
      </c>
      <c r="B9" s="3">
        <v>5050100</v>
      </c>
      <c r="C9" s="3" t="s">
        <v>80</v>
      </c>
      <c r="D9" s="1">
        <v>1</v>
      </c>
      <c r="E9" s="6">
        <v>9.68</v>
      </c>
      <c r="F9" s="6">
        <v>0</v>
      </c>
      <c r="G9" s="10">
        <v>1</v>
      </c>
      <c r="H9" s="9">
        <v>1</v>
      </c>
      <c r="I9" s="6">
        <f>Table1324[[#This Row],[Unit Price]]*Table1324[[#This Row],[Needed to Buy]]+Table1324[[#This Row],[Shipping]]</f>
        <v>9.68</v>
      </c>
      <c r="J9" s="11" t="s">
        <v>23</v>
      </c>
      <c r="K9" s="4" t="s">
        <v>36</v>
      </c>
    </row>
    <row r="10" spans="1:12" ht="24.95" customHeight="1" x14ac:dyDescent="0.25">
      <c r="A10" s="3" t="s">
        <v>59</v>
      </c>
      <c r="C10" s="3" t="s">
        <v>62</v>
      </c>
      <c r="D10" s="1">
        <v>1</v>
      </c>
      <c r="E10" s="6">
        <v>2.88</v>
      </c>
      <c r="F10" s="6">
        <v>1.66</v>
      </c>
      <c r="G10" s="10">
        <v>1</v>
      </c>
      <c r="H10" s="9">
        <v>1</v>
      </c>
      <c r="I10" s="6">
        <f>Table1324[[#This Row],[Unit Price]]*Table1324[[#This Row],[Needed to Buy]]+Table1324[[#This Row],[Shipping]]</f>
        <v>4.54</v>
      </c>
      <c r="J10" s="11" t="s">
        <v>60</v>
      </c>
      <c r="K10" s="4" t="s">
        <v>36</v>
      </c>
    </row>
    <row r="11" spans="1:12" ht="24.95" customHeight="1" x14ac:dyDescent="0.25">
      <c r="A11" s="3" t="s">
        <v>61</v>
      </c>
      <c r="C11" s="3" t="s">
        <v>83</v>
      </c>
      <c r="D11" s="1">
        <v>1</v>
      </c>
      <c r="E11" s="6">
        <v>1.19</v>
      </c>
      <c r="F11" s="6">
        <v>1.66</v>
      </c>
      <c r="G11" s="10">
        <v>1</v>
      </c>
      <c r="H11" s="9">
        <v>2</v>
      </c>
      <c r="I11" s="6">
        <f>Table1324[[#This Row],[Unit Price]]*Table1324[[#This Row],[Needed to Buy]]+Table1324[[#This Row],[Shipping]]</f>
        <v>4.04</v>
      </c>
      <c r="J11" s="11" t="s">
        <v>63</v>
      </c>
      <c r="K11" s="4" t="s">
        <v>36</v>
      </c>
    </row>
    <row r="12" spans="1:12" ht="24.95" customHeight="1" x14ac:dyDescent="0.25">
      <c r="A12" s="3" t="s">
        <v>64</v>
      </c>
      <c r="C12" s="3" t="s">
        <v>65</v>
      </c>
      <c r="D12" s="1">
        <v>1</v>
      </c>
      <c r="E12" s="6">
        <v>2.74</v>
      </c>
      <c r="F12" s="6">
        <v>0</v>
      </c>
      <c r="G12" s="10">
        <v>1</v>
      </c>
      <c r="H12" s="9">
        <v>1</v>
      </c>
      <c r="I12" s="6">
        <f>Table1324[[#This Row],[Unit Price]]*Table1324[[#This Row],[Needed to Buy]]+Table1324[[#This Row],[Shipping]]</f>
        <v>2.74</v>
      </c>
      <c r="J12" s="11" t="s">
        <v>57</v>
      </c>
      <c r="K12" s="4" t="s">
        <v>36</v>
      </c>
    </row>
    <row r="13" spans="1:12" ht="24.95" customHeight="1" x14ac:dyDescent="0.25">
      <c r="A13" s="3" t="s">
        <v>84</v>
      </c>
      <c r="C13" s="3" t="s">
        <v>82</v>
      </c>
      <c r="D13" s="1"/>
      <c r="E13" s="6">
        <v>0</v>
      </c>
      <c r="F13" s="6">
        <v>0</v>
      </c>
      <c r="G13" s="10"/>
      <c r="H13" s="9"/>
      <c r="I13" s="6">
        <f>Table1324[[#This Row],[Unit Price]]*Table1324[[#This Row],[Needed to Buy]]+Table1324[[#This Row],[Shipping]]</f>
        <v>0</v>
      </c>
      <c r="J13" s="11"/>
      <c r="K13" s="4"/>
    </row>
    <row r="14" spans="1:12" ht="24.95" customHeight="1" x14ac:dyDescent="0.25">
      <c r="A14" s="3" t="s">
        <v>66</v>
      </c>
      <c r="B14" s="3" t="s">
        <v>67</v>
      </c>
      <c r="C14" s="3" t="s">
        <v>79</v>
      </c>
      <c r="D14" s="1">
        <v>1</v>
      </c>
      <c r="E14" s="6">
        <v>3.11</v>
      </c>
      <c r="F14" s="6">
        <v>1.1499999999999999</v>
      </c>
      <c r="G14" s="10">
        <v>1</v>
      </c>
      <c r="H14" s="9">
        <v>2</v>
      </c>
      <c r="I14" s="6">
        <f>Table1324[[#This Row],[Unit Price]]*Table1324[[#This Row],[Needed to Buy]]+Table1324[[#This Row],[Shipping]]</f>
        <v>7.3699999999999992</v>
      </c>
      <c r="J14" s="11" t="s">
        <v>50</v>
      </c>
      <c r="K14" s="4" t="s">
        <v>36</v>
      </c>
    </row>
    <row r="15" spans="1:12" ht="24.95" customHeight="1" x14ac:dyDescent="0.25">
      <c r="A15" s="3" t="s">
        <v>68</v>
      </c>
      <c r="B15" s="3" t="s">
        <v>69</v>
      </c>
      <c r="C15" s="3" t="s">
        <v>79</v>
      </c>
      <c r="D15" s="1">
        <v>1</v>
      </c>
      <c r="E15" s="6">
        <v>6.52</v>
      </c>
      <c r="F15" s="6">
        <v>0</v>
      </c>
      <c r="G15" s="10">
        <v>1</v>
      </c>
      <c r="H15" s="9">
        <v>1</v>
      </c>
      <c r="I15" s="6">
        <f>Table1324[[#This Row],[Unit Price]]*Table1324[[#This Row],[Needed to Buy]]+Table1324[[#This Row],[Shipping]]</f>
        <v>6.52</v>
      </c>
      <c r="J15" s="11" t="s">
        <v>35</v>
      </c>
      <c r="K15" s="4" t="s">
        <v>36</v>
      </c>
    </row>
    <row r="16" spans="1:12" ht="24.95" customHeight="1" x14ac:dyDescent="0.25">
      <c r="A16" s="3" t="s">
        <v>70</v>
      </c>
      <c r="C16" s="3" t="s">
        <v>71</v>
      </c>
      <c r="D16" s="1">
        <v>1</v>
      </c>
      <c r="E16" s="6">
        <v>3.8</v>
      </c>
      <c r="F16" s="6">
        <v>0</v>
      </c>
      <c r="G16" s="10">
        <v>1</v>
      </c>
      <c r="H16" s="9">
        <v>1</v>
      </c>
      <c r="I16" s="6">
        <f>Table1324[[#This Row],[Unit Price]]*Table1324[[#This Row],[Needed to Buy]]+Table1324[[#This Row],[Shipping]]</f>
        <v>3.8</v>
      </c>
      <c r="J16" s="11" t="s">
        <v>35</v>
      </c>
      <c r="K16" s="4" t="s">
        <v>36</v>
      </c>
    </row>
    <row r="17" spans="1:11" ht="24.95" customHeight="1" x14ac:dyDescent="0.25">
      <c r="A17" s="3" t="s">
        <v>72</v>
      </c>
      <c r="C17" s="3" t="s">
        <v>73</v>
      </c>
      <c r="D17" s="1">
        <v>2</v>
      </c>
      <c r="E17" s="6">
        <v>4.99</v>
      </c>
      <c r="F17" s="6">
        <v>0</v>
      </c>
      <c r="G17" s="10">
        <v>5</v>
      </c>
      <c r="H17" s="9">
        <v>1</v>
      </c>
      <c r="I17" s="6">
        <f>Table1324[[#This Row],[Unit Price]]*Table1324[[#This Row],[Needed to Buy]]+Table1324[[#This Row],[Shipping]]</f>
        <v>4.99</v>
      </c>
      <c r="J17" s="11" t="s">
        <v>23</v>
      </c>
      <c r="K17" s="4" t="s">
        <v>36</v>
      </c>
    </row>
    <row r="18" spans="1:11" ht="24.95" customHeight="1" x14ac:dyDescent="0.25">
      <c r="A18" s="3" t="s">
        <v>74</v>
      </c>
      <c r="C18" s="13" t="s">
        <v>75</v>
      </c>
      <c r="D18" s="1">
        <v>1</v>
      </c>
      <c r="E18" s="6">
        <v>3.45</v>
      </c>
      <c r="F18" s="6">
        <v>0</v>
      </c>
      <c r="G18" s="10">
        <v>1</v>
      </c>
      <c r="H18" s="9">
        <v>1</v>
      </c>
      <c r="I18" s="6">
        <f>Table1324[[#This Row],[Unit Price]]*Table1324[[#This Row],[Needed to Buy]]+Table1324[[#This Row],[Shipping]]</f>
        <v>3.45</v>
      </c>
      <c r="J18" s="11" t="s">
        <v>23</v>
      </c>
      <c r="K18" s="4" t="s">
        <v>36</v>
      </c>
    </row>
    <row r="19" spans="1:11" ht="24.95" customHeight="1" x14ac:dyDescent="0.25">
      <c r="A19" s="3" t="s">
        <v>6</v>
      </c>
      <c r="D19"/>
      <c r="E19" s="1"/>
      <c r="F19" s="1"/>
      <c r="G19" s="1"/>
      <c r="H19" s="1"/>
      <c r="I19" s="8">
        <f>SUM(Table1324[Total Price])</f>
        <v>73.589999999999989</v>
      </c>
      <c r="J19" s="8"/>
      <c r="K19" s="5"/>
    </row>
  </sheetData>
  <mergeCells count="3">
    <mergeCell ref="A1:K1"/>
    <mergeCell ref="A2:D2"/>
    <mergeCell ref="E2:K2"/>
  </mergeCells>
  <hyperlinks>
    <hyperlink ref="K4" r:id="rId1" xr:uid="{E034DC15-EFB9-485C-878B-C0DA5D5A9D4A}"/>
    <hyperlink ref="K5" r:id="rId2" xr:uid="{78D10B28-8011-4B54-A414-10F5B6A1CCF8}"/>
    <hyperlink ref="K6" r:id="rId3" xr:uid="{9E52A4F6-3DC1-4935-9257-1C5A8E77BE66}"/>
    <hyperlink ref="K8" r:id="rId4" xr:uid="{76EFDF56-F89B-4341-8A50-A0F3CD5440DB}"/>
    <hyperlink ref="K7" r:id="rId5" xr:uid="{328E5AE0-7614-4261-8F80-DF1CB772828C}"/>
    <hyperlink ref="K9" r:id="rId6" xr:uid="{3E3692A8-46E9-4A8C-9BD9-FD66A892E097}"/>
    <hyperlink ref="K10" r:id="rId7" xr:uid="{AC65D95E-C350-4526-A989-CFB5E7A480D7}"/>
    <hyperlink ref="K11" r:id="rId8" xr:uid="{F1512663-297A-402D-AEA0-9E668FEFA94C}"/>
    <hyperlink ref="K12" r:id="rId9" xr:uid="{AB5263F7-BBEB-4251-B34F-B6593F3495B8}"/>
    <hyperlink ref="K14" r:id="rId10" xr:uid="{E314A927-7848-4927-A0F8-F4BDBA8700F1}"/>
    <hyperlink ref="K17" r:id="rId11" xr:uid="{44567B8B-C541-4B29-BF92-E6D90F55B6EF}"/>
    <hyperlink ref="K15" r:id="rId12" xr:uid="{F7846EA5-FDFF-421F-886B-B3D7B5477FBB}"/>
    <hyperlink ref="K16" r:id="rId13" xr:uid="{273B94AD-A1C1-434F-A11B-0A6A3E7355F3}"/>
    <hyperlink ref="K18" r:id="rId14" xr:uid="{A1B5DDFE-84AA-4D9B-B360-67302582D745}"/>
  </hyperlinks>
  <pageMargins left="0.7" right="0.7" top="0.75" bottom="0.75" header="0.3" footer="0.3"/>
  <tableParts count="1"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A2BC-95D1-4BFC-A97F-478F653543E5}">
  <dimension ref="A1:K21"/>
  <sheetViews>
    <sheetView workbookViewId="0">
      <selection activeCell="K1" sqref="K1"/>
    </sheetView>
  </sheetViews>
  <sheetFormatPr defaultColWidth="20.7109375" defaultRowHeight="24.95" customHeight="1" x14ac:dyDescent="0.25"/>
  <cols>
    <col min="1" max="16384" width="20.7109375" style="3"/>
  </cols>
  <sheetData>
    <row r="1" spans="1:11" customFormat="1" ht="24.95" customHeight="1" x14ac:dyDescent="0.25">
      <c r="A1" s="15" t="s">
        <v>43</v>
      </c>
      <c r="B1" s="15"/>
      <c r="C1" s="15"/>
      <c r="D1" s="15"/>
      <c r="E1" s="15"/>
      <c r="F1" s="15"/>
      <c r="G1" s="15"/>
      <c r="H1" s="15"/>
      <c r="I1" s="15"/>
      <c r="J1" s="15"/>
      <c r="K1" s="3"/>
    </row>
    <row r="2" spans="1:11" customFormat="1" ht="24.95" customHeight="1" x14ac:dyDescent="0.25">
      <c r="A2" s="15" t="s">
        <v>12</v>
      </c>
      <c r="B2" s="15"/>
      <c r="C2" s="15"/>
      <c r="D2" s="15" t="s">
        <v>19</v>
      </c>
      <c r="E2" s="15"/>
      <c r="F2" s="15"/>
      <c r="G2" s="15"/>
      <c r="H2" s="15"/>
      <c r="I2" s="15"/>
      <c r="J2" s="15"/>
      <c r="K2" s="3"/>
    </row>
    <row r="3" spans="1:11" customFormat="1" ht="24.95" customHeight="1" x14ac:dyDescent="0.25">
      <c r="A3" s="2" t="s">
        <v>0</v>
      </c>
      <c r="B3" s="2" t="s">
        <v>1</v>
      </c>
      <c r="C3" s="2" t="s">
        <v>2</v>
      </c>
      <c r="D3" s="2" t="s">
        <v>20</v>
      </c>
      <c r="E3" s="2" t="s">
        <v>8</v>
      </c>
      <c r="F3" s="2" t="s">
        <v>5</v>
      </c>
      <c r="G3" s="2" t="s">
        <v>21</v>
      </c>
      <c r="H3" s="2" t="s">
        <v>9</v>
      </c>
      <c r="I3" s="2" t="s">
        <v>25</v>
      </c>
      <c r="J3" s="2" t="s">
        <v>3</v>
      </c>
      <c r="K3" s="3"/>
    </row>
    <row r="4" spans="1:11" ht="24.95" customHeight="1" x14ac:dyDescent="0.25">
      <c r="A4" s="3" t="s">
        <v>15</v>
      </c>
      <c r="B4" s="3" t="s">
        <v>45</v>
      </c>
      <c r="C4" s="1">
        <v>1</v>
      </c>
      <c r="D4" s="6">
        <v>5.95</v>
      </c>
      <c r="E4" s="6">
        <v>0</v>
      </c>
      <c r="F4" s="10">
        <v>1</v>
      </c>
      <c r="G4" s="9">
        <v>1</v>
      </c>
      <c r="H4" s="6">
        <f>Table13[[#This Row],[Price]]*Table13[[#This Row],[Needed to Buy]]+Table13[[#This Row],[Shipping]]</f>
        <v>5.95</v>
      </c>
      <c r="I4" s="11" t="s">
        <v>46</v>
      </c>
      <c r="J4" s="4" t="s">
        <v>36</v>
      </c>
    </row>
    <row r="5" spans="1:11" ht="24.95" customHeight="1" x14ac:dyDescent="0.25">
      <c r="A5" s="3" t="s">
        <v>13</v>
      </c>
      <c r="B5" s="3" t="s">
        <v>14</v>
      </c>
      <c r="C5" s="1" t="s">
        <v>22</v>
      </c>
      <c r="D5" s="6">
        <v>9.99</v>
      </c>
      <c r="E5" s="6">
        <v>0</v>
      </c>
      <c r="F5" s="10">
        <v>420</v>
      </c>
      <c r="G5" s="9">
        <v>1</v>
      </c>
      <c r="H5" s="6">
        <f>Table13[[#This Row],[Price]]*Table13[[#This Row],[Needed to Buy]]+Table13[[#This Row],[Shipping]]</f>
        <v>9.99</v>
      </c>
      <c r="I5" s="11">
        <v>1</v>
      </c>
      <c r="J5" s="4" t="s">
        <v>4</v>
      </c>
    </row>
    <row r="6" spans="1:11" ht="24.95" customHeight="1" x14ac:dyDescent="0.25">
      <c r="A6" s="3" t="s">
        <v>16</v>
      </c>
      <c r="B6" s="3" t="s">
        <v>17</v>
      </c>
      <c r="C6" s="1">
        <v>1</v>
      </c>
      <c r="D6" s="6">
        <v>2.99</v>
      </c>
      <c r="E6" s="6">
        <v>0</v>
      </c>
      <c r="F6" s="10">
        <v>5</v>
      </c>
      <c r="G6" s="9">
        <v>1</v>
      </c>
      <c r="H6" s="6">
        <f>Table13[[#This Row],[Price]]*Table13[[#This Row],[Needed to Buy]]+Table13[[#This Row],[Shipping]]</f>
        <v>2.99</v>
      </c>
      <c r="I6" s="11" t="s">
        <v>24</v>
      </c>
      <c r="J6" s="4" t="s">
        <v>36</v>
      </c>
    </row>
    <row r="7" spans="1:11" ht="24.95" customHeight="1" x14ac:dyDescent="0.25">
      <c r="A7" s="3" t="s">
        <v>7</v>
      </c>
      <c r="B7" s="3" t="s">
        <v>29</v>
      </c>
      <c r="C7" s="1">
        <v>1</v>
      </c>
      <c r="D7" s="6">
        <v>3.39</v>
      </c>
      <c r="E7" s="6">
        <v>0</v>
      </c>
      <c r="F7" s="10">
        <v>1</v>
      </c>
      <c r="G7" s="9">
        <v>1</v>
      </c>
      <c r="H7" s="6">
        <f>Table13[[#This Row],[Price]]*Table13[[#This Row],[Needed to Buy]]+Table13[[#This Row],[Shipping]]</f>
        <v>3.39</v>
      </c>
      <c r="I7" s="11" t="s">
        <v>23</v>
      </c>
      <c r="J7" s="4" t="s">
        <v>36</v>
      </c>
    </row>
    <row r="8" spans="1:11" ht="24.95" customHeight="1" x14ac:dyDescent="0.25">
      <c r="A8" s="3" t="s">
        <v>18</v>
      </c>
      <c r="B8" s="3" t="s">
        <v>10</v>
      </c>
      <c r="C8" s="1">
        <v>5</v>
      </c>
      <c r="D8" s="6">
        <v>4.62</v>
      </c>
      <c r="E8" s="6">
        <v>1.03</v>
      </c>
      <c r="F8" s="10">
        <v>5</v>
      </c>
      <c r="G8" s="9">
        <v>1</v>
      </c>
      <c r="H8" s="6">
        <f>Table13[[#This Row],[Price]]*Table13[[#This Row],[Needed to Buy]]+Table13[[#This Row],[Shipping]]</f>
        <v>5.65</v>
      </c>
      <c r="I8" s="11" t="s">
        <v>26</v>
      </c>
      <c r="J8" s="4" t="s">
        <v>36</v>
      </c>
    </row>
    <row r="9" spans="1:11" ht="24.95" customHeight="1" x14ac:dyDescent="0.25">
      <c r="A9" s="3" t="s">
        <v>27</v>
      </c>
      <c r="B9" s="3" t="s">
        <v>28</v>
      </c>
      <c r="C9" s="1">
        <v>5</v>
      </c>
      <c r="D9" s="6">
        <v>2.86</v>
      </c>
      <c r="E9" s="6">
        <v>0</v>
      </c>
      <c r="F9" s="10">
        <v>10</v>
      </c>
      <c r="G9" s="9">
        <v>1</v>
      </c>
      <c r="H9" s="6">
        <f>Table13[[#This Row],[Price]]*Table13[[#This Row],[Needed to Buy]]+Table13[[#This Row],[Shipping]]</f>
        <v>2.86</v>
      </c>
      <c r="I9" s="11" t="s">
        <v>23</v>
      </c>
      <c r="J9" s="4" t="s">
        <v>36</v>
      </c>
    </row>
    <row r="10" spans="1:11" ht="24.95" customHeight="1" x14ac:dyDescent="0.25">
      <c r="A10" s="3" t="s">
        <v>30</v>
      </c>
      <c r="B10" s="3" t="s">
        <v>32</v>
      </c>
      <c r="C10" s="1">
        <v>2</v>
      </c>
      <c r="D10" s="6">
        <v>4.99</v>
      </c>
      <c r="E10" s="6">
        <v>0</v>
      </c>
      <c r="F10" s="10">
        <v>20</v>
      </c>
      <c r="G10" s="9">
        <v>1</v>
      </c>
      <c r="H10" s="6">
        <f>Table13[[#This Row],[Price]]*Table13[[#This Row],[Needed to Buy]]+Table13[[#This Row],[Shipping]]</f>
        <v>4.99</v>
      </c>
      <c r="I10" s="11" t="s">
        <v>31</v>
      </c>
      <c r="J10" s="4" t="s">
        <v>4</v>
      </c>
    </row>
    <row r="11" spans="1:11" ht="24.95" customHeight="1" x14ac:dyDescent="0.25">
      <c r="A11" s="3" t="s">
        <v>33</v>
      </c>
      <c r="B11" s="1" t="s">
        <v>34</v>
      </c>
      <c r="C11" s="1">
        <v>2</v>
      </c>
      <c r="D11" s="6">
        <v>7.29</v>
      </c>
      <c r="E11" s="6">
        <v>0</v>
      </c>
      <c r="F11" s="10">
        <v>1</v>
      </c>
      <c r="G11" s="9">
        <v>2</v>
      </c>
      <c r="H11" s="6">
        <f>Table13[[#This Row],[Price]]*Table13[[#This Row],[Needed to Buy]]+Table13[[#This Row],[Shipping]]</f>
        <v>14.58</v>
      </c>
      <c r="I11" s="11" t="s">
        <v>35</v>
      </c>
      <c r="J11" s="4" t="s">
        <v>36</v>
      </c>
    </row>
    <row r="12" spans="1:11" ht="24.95" customHeight="1" x14ac:dyDescent="0.25">
      <c r="A12" s="3" t="s">
        <v>11</v>
      </c>
      <c r="B12" s="1" t="s">
        <v>34</v>
      </c>
      <c r="C12" s="1">
        <v>1</v>
      </c>
      <c r="D12" s="6">
        <v>6.35</v>
      </c>
      <c r="E12" s="6">
        <v>0</v>
      </c>
      <c r="F12" s="10">
        <v>1</v>
      </c>
      <c r="G12" s="9">
        <v>1</v>
      </c>
      <c r="H12" s="7">
        <f>Table13[[#This Row],[Price]]*Table13[[#This Row],[Needed to Buy]]+Table13[[#This Row],[Shipping]]</f>
        <v>6.35</v>
      </c>
      <c r="I12" s="11" t="s">
        <v>23</v>
      </c>
      <c r="J12" s="4" t="s">
        <v>36</v>
      </c>
    </row>
    <row r="13" spans="1:11" ht="24.95" customHeight="1" x14ac:dyDescent="0.25">
      <c r="A13" s="3" t="s">
        <v>37</v>
      </c>
      <c r="B13" s="1" t="s">
        <v>34</v>
      </c>
      <c r="C13" s="1">
        <v>6</v>
      </c>
      <c r="D13" s="6">
        <v>0</v>
      </c>
      <c r="E13" s="6">
        <v>0</v>
      </c>
      <c r="F13" s="10"/>
      <c r="G13" s="9"/>
      <c r="H13" s="7">
        <f>Table13[[#This Row],[Price]]*Table13[[#This Row],[Needed to Buy]]+Table13[[#This Row],[Shipping]]</f>
        <v>0</v>
      </c>
      <c r="I13" s="11"/>
      <c r="J13" s="12"/>
    </row>
    <row r="14" spans="1:11" ht="24.95" customHeight="1" x14ac:dyDescent="0.25">
      <c r="A14" s="1" t="s">
        <v>34</v>
      </c>
      <c r="C14" s="1"/>
      <c r="D14" s="6"/>
      <c r="E14" s="6"/>
      <c r="F14" s="10"/>
      <c r="G14" s="9"/>
      <c r="H14" s="7"/>
      <c r="I14" s="11"/>
      <c r="J14" s="4"/>
    </row>
    <row r="15" spans="1:11" ht="24.95" customHeight="1" x14ac:dyDescent="0.25">
      <c r="A15" s="3" t="s">
        <v>41</v>
      </c>
      <c r="B15" s="1" t="s">
        <v>34</v>
      </c>
      <c r="C15" s="1">
        <v>3</v>
      </c>
      <c r="D15" s="6">
        <v>0</v>
      </c>
      <c r="E15" s="6">
        <v>0</v>
      </c>
      <c r="F15" s="10"/>
      <c r="G15" s="9"/>
      <c r="H15" s="7">
        <f>Table13[[#This Row],[Price]]*Table13[[#This Row],[Needed to Buy]]+Table13[[#This Row],[Shipping]]</f>
        <v>0</v>
      </c>
      <c r="I15" s="11" t="s">
        <v>44</v>
      </c>
      <c r="J15" s="4"/>
    </row>
    <row r="16" spans="1:11" ht="24.95" customHeight="1" x14ac:dyDescent="0.25">
      <c r="A16" s="3" t="s">
        <v>42</v>
      </c>
      <c r="B16" s="1" t="s">
        <v>34</v>
      </c>
      <c r="C16" s="1">
        <v>4</v>
      </c>
      <c r="D16" s="6">
        <v>3.85</v>
      </c>
      <c r="E16" s="6">
        <v>0</v>
      </c>
      <c r="F16" s="10">
        <v>10</v>
      </c>
      <c r="G16" s="9">
        <v>1</v>
      </c>
      <c r="H16" s="7">
        <f>Table13[[#This Row],[Price]]*Table13[[#This Row],[Needed to Buy]]+Table13[[#This Row],[Shipping]]</f>
        <v>3.85</v>
      </c>
      <c r="I16" s="11" t="s">
        <v>35</v>
      </c>
      <c r="J16" s="4" t="s">
        <v>36</v>
      </c>
    </row>
    <row r="17" spans="1:10" ht="24.95" customHeight="1" x14ac:dyDescent="0.25">
      <c r="A17" s="1" t="s">
        <v>34</v>
      </c>
      <c r="C17" s="1"/>
      <c r="D17" s="6"/>
      <c r="E17" s="6"/>
      <c r="F17" s="10"/>
      <c r="G17" s="9"/>
      <c r="H17" s="7"/>
      <c r="I17" s="11"/>
      <c r="J17" s="4"/>
    </row>
    <row r="18" spans="1:10" ht="24.95" customHeight="1" x14ac:dyDescent="0.25">
      <c r="A18" s="3" t="s">
        <v>38</v>
      </c>
      <c r="B18" s="1" t="s">
        <v>34</v>
      </c>
      <c r="C18" s="1"/>
      <c r="D18" s="6">
        <v>0</v>
      </c>
      <c r="E18" s="6">
        <v>0</v>
      </c>
      <c r="F18" s="10"/>
      <c r="G18" s="9"/>
      <c r="H18" s="7">
        <f>Table13[[#This Row],[Price]]*Table13[[#This Row],[Needed to Buy]]+Table13[[#This Row],[Shipping]]</f>
        <v>0</v>
      </c>
      <c r="I18" s="11"/>
      <c r="J18" s="4"/>
    </row>
    <row r="19" spans="1:10" ht="24.95" customHeight="1" x14ac:dyDescent="0.25">
      <c r="A19" s="3" t="s">
        <v>39</v>
      </c>
      <c r="B19" s="1" t="s">
        <v>34</v>
      </c>
      <c r="C19" s="1"/>
      <c r="D19" s="6">
        <v>0</v>
      </c>
      <c r="E19" s="6">
        <v>0</v>
      </c>
      <c r="F19" s="10"/>
      <c r="G19" s="9"/>
      <c r="H19" s="7">
        <f>Table13[[#This Row],[Price]]*Table13[[#This Row],[Needed to Buy]]+Table13[[#This Row],[Shipping]]</f>
        <v>0</v>
      </c>
      <c r="I19" s="11"/>
      <c r="J19" s="4"/>
    </row>
    <row r="20" spans="1:10" ht="24.95" customHeight="1" x14ac:dyDescent="0.25">
      <c r="A20" s="3" t="s">
        <v>40</v>
      </c>
      <c r="B20" s="1" t="s">
        <v>34</v>
      </c>
      <c r="C20" s="1"/>
      <c r="D20" s="6">
        <v>0</v>
      </c>
      <c r="E20" s="6">
        <v>0</v>
      </c>
      <c r="F20" s="10"/>
      <c r="G20" s="9"/>
      <c r="H20" s="7">
        <f>Table13[[#This Row],[Price]]*Table13[[#This Row],[Needed to Buy]]+Table13[[#This Row],[Shipping]]</f>
        <v>0</v>
      </c>
      <c r="I20" s="11"/>
      <c r="J20" s="4"/>
    </row>
    <row r="21" spans="1:10" ht="24.95" customHeight="1" x14ac:dyDescent="0.25">
      <c r="A21" s="3" t="s">
        <v>6</v>
      </c>
      <c r="C21"/>
      <c r="D21" s="1"/>
      <c r="E21" s="1"/>
      <c r="F21" s="1"/>
      <c r="G21" s="1"/>
      <c r="H21" s="8">
        <f>SUM(Table13[Total Price])</f>
        <v>60.6</v>
      </c>
      <c r="I21" s="8"/>
      <c r="J21" s="5"/>
    </row>
  </sheetData>
  <mergeCells count="3">
    <mergeCell ref="A1:J1"/>
    <mergeCell ref="A2:C2"/>
    <mergeCell ref="D2:J2"/>
  </mergeCells>
  <hyperlinks>
    <hyperlink ref="J4" r:id="rId1" xr:uid="{F0EC4B40-B7F9-4E7A-9381-4D445791A8F3}"/>
    <hyperlink ref="J10" r:id="rId2" xr:uid="{C8CF97CE-69FE-4D20-ADE3-87B9F2D4B942}"/>
    <hyperlink ref="J5" r:id="rId3" xr:uid="{EA26A44A-BABD-44C0-8456-8EEFE8D602C2}"/>
    <hyperlink ref="J11" r:id="rId4" xr:uid="{61E0F56C-82AA-4047-A8D3-B8CFC352553A}"/>
    <hyperlink ref="J6" r:id="rId5" xr:uid="{9BA54015-9A07-4A0B-9914-7F162A019A7F}"/>
    <hyperlink ref="J7" r:id="rId6" xr:uid="{54D65BA1-1066-4EA1-9FDF-9C229F0099D8}"/>
    <hyperlink ref="J8" r:id="rId7" xr:uid="{CF1FEFE9-21B4-4964-B0FC-D03FA48848D5}"/>
    <hyperlink ref="J9" r:id="rId8" xr:uid="{0A09FFB2-862F-4D18-9BBD-72ECBDE3AE7C}"/>
    <hyperlink ref="J12" r:id="rId9" xr:uid="{2C1CC6E2-D753-4ABC-9C31-4483EE61FC7E}"/>
    <hyperlink ref="J16" r:id="rId10" xr:uid="{AE31F1FD-339E-4C5C-872E-AF3A0FBE3889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component-orders</vt:lpstr>
      <vt:lpstr>component-store-orders</vt:lpstr>
      <vt:lpstr>-b-pre-aliexpress</vt:lpstr>
      <vt:lpstr>-b-old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Dixon</dc:creator>
  <cp:lastModifiedBy>Samuel Dixon</cp:lastModifiedBy>
  <dcterms:created xsi:type="dcterms:W3CDTF">2025-08-04T12:49:31Z</dcterms:created>
  <dcterms:modified xsi:type="dcterms:W3CDTF">2026-01-18T19:15:05Z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559e1-065f-48bd-9ddf-4bc014495b9d_Enabled">
    <vt:lpwstr>true</vt:lpwstr>
  </property>
  <property fmtid="{D5CDD505-2E9C-101B-9397-08002B2CF9AE}" pid="3" name="MSIP_Label_ce7559e1-065f-48bd-9ddf-4bc014495b9d_SetDate">
    <vt:lpwstr>2025-08-04T12:49:46Z</vt:lpwstr>
  </property>
  <property fmtid="{D5CDD505-2E9C-101B-9397-08002B2CF9AE}" pid="4" name="MSIP_Label_ce7559e1-065f-48bd-9ddf-4bc014495b9d_Method">
    <vt:lpwstr>Standard</vt:lpwstr>
  </property>
  <property fmtid="{D5CDD505-2E9C-101B-9397-08002B2CF9AE}" pid="5" name="MSIP_Label_ce7559e1-065f-48bd-9ddf-4bc014495b9d_Name">
    <vt:lpwstr>defa4170-0d19-0005-0004-bc88714345d2</vt:lpwstr>
  </property>
  <property fmtid="{D5CDD505-2E9C-101B-9397-08002B2CF9AE}" pid="6" name="MSIP_Label_ce7559e1-065f-48bd-9ddf-4bc014495b9d_SiteId">
    <vt:lpwstr>854b4310-0dbf-4241-ae41-4df0a4f8db92</vt:lpwstr>
  </property>
  <property fmtid="{D5CDD505-2E9C-101B-9397-08002B2CF9AE}" pid="7" name="MSIP_Label_ce7559e1-065f-48bd-9ddf-4bc014495b9d_ActionId">
    <vt:lpwstr>0f5139c8-e7ce-4968-8182-2ce4956cab68</vt:lpwstr>
  </property>
  <property fmtid="{D5CDD505-2E9C-101B-9397-08002B2CF9AE}" pid="8" name="MSIP_Label_ce7559e1-065f-48bd-9ddf-4bc014495b9d_ContentBits">
    <vt:lpwstr>0</vt:lpwstr>
  </property>
  <property fmtid="{D5CDD505-2E9C-101B-9397-08002B2CF9AE}" pid="9" name="MSIP_Label_ce7559e1-065f-48bd-9ddf-4bc014495b9d_Tag">
    <vt:lpwstr>10, 3, 0, 1</vt:lpwstr>
  </property>
</Properties>
</file>