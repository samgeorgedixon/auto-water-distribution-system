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primary\regulated-irrigation-system\v0.1.0\"/>
    </mc:Choice>
  </mc:AlternateContent>
  <xr:revisionPtr revIDLastSave="0" documentId="13_ncr:1_{27EBAB4E-99D0-4351-A483-C2C4DB2CF5D6}" xr6:coauthVersionLast="47" xr6:coauthVersionMax="47" xr10:uidLastSave="{00000000-0000-0000-0000-000000000000}"/>
  <bookViews>
    <workbookView xWindow="-120" yWindow="-120" windowWidth="29040" windowHeight="15720" xr2:uid="{38EBA7E1-48E4-4552-B242-4B8FFED322BD}"/>
  </bookViews>
  <sheets>
    <sheet name="bom" sheetId="4" r:id="rId1"/>
    <sheet name="store-order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J29" i="4"/>
  <c r="J28" i="4"/>
  <c r="J27" i="4"/>
  <c r="J26" i="4"/>
  <c r="J25" i="4"/>
  <c r="J24" i="4"/>
  <c r="J23" i="4"/>
  <c r="J22" i="4"/>
  <c r="J21" i="4"/>
  <c r="J20" i="4"/>
  <c r="J19" i="4"/>
  <c r="J15" i="4"/>
  <c r="J14" i="4"/>
  <c r="J13" i="4"/>
  <c r="J12" i="4"/>
  <c r="J11" i="4"/>
  <c r="J10" i="4"/>
  <c r="J9" i="4"/>
  <c r="J18" i="4"/>
  <c r="J8" i="4"/>
  <c r="J6" i="4"/>
  <c r="J5" i="4"/>
  <c r="G7" i="6"/>
  <c r="J30" i="4"/>
  <c r="G8" i="6"/>
  <c r="G6" i="6"/>
  <c r="G5" i="6"/>
  <c r="G4" i="6"/>
  <c r="J36" i="4"/>
  <c r="J4" i="4"/>
  <c r="J7" i="4"/>
  <c r="J17" i="4"/>
  <c r="J32" i="4"/>
  <c r="J33" i="4"/>
  <c r="J34" i="4"/>
  <c r="J35" i="4"/>
  <c r="J31" i="4"/>
  <c r="G9" i="6" l="1"/>
  <c r="J37" i="4"/>
</calcChain>
</file>

<file path=xl/sharedStrings.xml><?xml version="1.0" encoding="utf-8"?>
<sst xmlns="http://schemas.openxmlformats.org/spreadsheetml/2006/main" count="208" uniqueCount="98">
  <si>
    <t>Name</t>
  </si>
  <si>
    <t>Part Number</t>
  </si>
  <si>
    <t>Link</t>
  </si>
  <si>
    <t>PC's</t>
  </si>
  <si>
    <t>Total</t>
  </si>
  <si>
    <t>Shipping</t>
  </si>
  <si>
    <t>Total Price</t>
  </si>
  <si>
    <t>Component</t>
  </si>
  <si>
    <t>ESP32</t>
  </si>
  <si>
    <t>Shift Register</t>
  </si>
  <si>
    <t>Order</t>
  </si>
  <si>
    <t>Needed to Buy</t>
  </si>
  <si>
    <t>2 - 3</t>
  </si>
  <si>
    <t>Shipping Time (Days)</t>
  </si>
  <si>
    <t>-</t>
  </si>
  <si>
    <t>Ebay</t>
  </si>
  <si>
    <t>0</t>
  </si>
  <si>
    <t>ESP32-DevKitC-v4</t>
  </si>
  <si>
    <t>3 - 4</t>
  </si>
  <si>
    <t>Unit Price</t>
  </si>
  <si>
    <t>PCB's</t>
  </si>
  <si>
    <t>JLCPCB</t>
  </si>
  <si>
    <t>10 - 14</t>
  </si>
  <si>
    <t>LCSC</t>
  </si>
  <si>
    <t>7 - 15</t>
  </si>
  <si>
    <t>RTC Module</t>
  </si>
  <si>
    <t>12 - 16</t>
  </si>
  <si>
    <t>Battery</t>
  </si>
  <si>
    <t xml:space="preserve">Battery Charger </t>
  </si>
  <si>
    <t>8 - 10</t>
  </si>
  <si>
    <t>Boost Converter</t>
  </si>
  <si>
    <t>1A: 5V IN, 4.2V OUT</t>
  </si>
  <si>
    <t>9 - 10</t>
  </si>
  <si>
    <t>Solar Cell</t>
  </si>
  <si>
    <t>150mA: 5V</t>
  </si>
  <si>
    <t>Solenoid Valve</t>
  </si>
  <si>
    <t>Pump</t>
  </si>
  <si>
    <t>QR50E</t>
  </si>
  <si>
    <t>Min Quantity</t>
  </si>
  <si>
    <t>Info</t>
  </si>
  <si>
    <t>3D Printed</t>
  </si>
  <si>
    <t>Casing (Model)</t>
  </si>
  <si>
    <t>AliExpress</t>
  </si>
  <si>
    <t>8 - 12, 18</t>
  </si>
  <si>
    <t>Store</t>
  </si>
  <si>
    <t>3D Print</t>
  </si>
  <si>
    <t>Store Basket</t>
  </si>
  <si>
    <t>Electronics</t>
  </si>
  <si>
    <t>Components</t>
  </si>
  <si>
    <t>1/2" (OD-16mm)</t>
  </si>
  <si>
    <t>Command Module</t>
  </si>
  <si>
    <t>Switch Module</t>
  </si>
  <si>
    <t>v1.0.0</t>
  </si>
  <si>
    <t>B2P-VH(LF)(SN)</t>
  </si>
  <si>
    <t>SS-12D00-G3</t>
  </si>
  <si>
    <t>B5B-PH-K-S(LF)(SN)</t>
  </si>
  <si>
    <t>IRLZ44N(UMW)</t>
  </si>
  <si>
    <t>SB560_AY_10001</t>
  </si>
  <si>
    <t>74HC595N</t>
  </si>
  <si>
    <t>B2B-PH-K-S(LF)(SN)</t>
  </si>
  <si>
    <t>PM2.54-1X3P-H85</t>
  </si>
  <si>
    <t>JST-PH Male 2pin</t>
  </si>
  <si>
    <t>JST-PH Male 5pin</t>
  </si>
  <si>
    <t>JST-VH Male 2pin</t>
  </si>
  <si>
    <t>Header 3pin</t>
  </si>
  <si>
    <t>Temp Sensor</t>
  </si>
  <si>
    <t>DHT22</t>
  </si>
  <si>
    <t>Pipe: Flexible PVC</t>
  </si>
  <si>
    <t>1m: ID-12mm</t>
  </si>
  <si>
    <t>2m: ID-16mm (1/2")</t>
  </si>
  <si>
    <t>T-Piece</t>
  </si>
  <si>
    <t>Pipe Reducer</t>
  </si>
  <si>
    <t>3.9mm - 12.7mm</t>
  </si>
  <si>
    <t>MT3608</t>
  </si>
  <si>
    <t>2A OUT</t>
  </si>
  <si>
    <t>10cm: Double Ended</t>
  </si>
  <si>
    <t>Wire: JST-VH 2pin</t>
  </si>
  <si>
    <t>Wire: JST-PH 5pin</t>
  </si>
  <si>
    <t>Wire: JST-PH 2pin</t>
  </si>
  <si>
    <t>20cm: Single Ended</t>
  </si>
  <si>
    <t>11.1mm - 15.8mm</t>
  </si>
  <si>
    <t>5W: 12V (3m Lift, 280l/h)</t>
  </si>
  <si>
    <t>FPD-270A</t>
  </si>
  <si>
    <t>12V: G1/2" NC</t>
  </si>
  <si>
    <t>ZS-042</t>
  </si>
  <si>
    <t>4Ah: 3.7V</t>
  </si>
  <si>
    <t>8 - 12</t>
  </si>
  <si>
    <t>18</t>
  </si>
  <si>
    <t>3.3V: 5A-12V</t>
  </si>
  <si>
    <t>Mosfet</t>
  </si>
  <si>
    <t>5A</t>
  </si>
  <si>
    <t>Diode</t>
  </si>
  <si>
    <t>8bit</t>
  </si>
  <si>
    <t>Switch</t>
  </si>
  <si>
    <t>2state</t>
  </si>
  <si>
    <t>PM2.54-1*19</t>
  </si>
  <si>
    <t>Header 19pin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</si>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</sst>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0" fillId="0" borderId="0" xfId="2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3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49" fontId="0" fillId="0" borderId="0" xfId="2" applyNumberFormat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Comma" xfId="3" builtinId="3"/>
    <cellStyle name="Currency" xfId="2" builtinId="4"/>
    <cellStyle name="Hyperlink" xfId="1" builtinId="8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numFmt numFmtId="34" formatCode="_-&quot;£&quot;* #,##0.00_-;\-&quot;£&quot;* #,##0.00_-;_-&quot;£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5120E-986D-4067-B0C7-38EE2E0158E2}" name="Table132" displayName="Table132" ref="A3:L37" totalsRowCount="1" headerRowDxfId="41" dataDxfId="40">
  <autoFilter ref="A3:L36" xr:uid="{E7F31172-D701-43B3-B363-E7128DEE1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E879416-F40A-4624-9F1D-8E3EA9B26E4F}" name="Store" totalsRowLabel="Total" dataDxfId="39" totalsRowDxfId="38"/>
    <tableColumn id="9" xr3:uid="{E5C18827-E5F9-4E36-8E09-A33590D1C7BB}" name="Name" dataDxfId="37" totalsRowDxfId="36"/>
    <tableColumn id="3" xr3:uid="{39F367DD-94B8-4C39-8D62-42707C3DCD3F}" name="Part Number" dataDxfId="35" totalsRowDxfId="34"/>
    <tableColumn id="12" xr3:uid="{D136FD14-5D1F-4B27-8E3A-CEAA15545B54}" name="Info" dataDxfId="33" totalsRowDxfId="32"/>
    <tableColumn id="5" xr3:uid="{0BC47891-AA27-4760-A86D-FC5961E3AF50}" name="Min Quantity"/>
    <tableColumn id="7" xr3:uid="{01B4F257-9F3F-47C8-A0AF-616870AD9765}" name="Unit Price" dataDxfId="31" totalsRowDxfId="30" dataCellStyle="Currency"/>
    <tableColumn id="11" xr3:uid="{F6A62268-004A-4602-947B-BD1B548BEFEF}" name="Shipping" dataDxfId="29" totalsRowDxfId="28" dataCellStyle="Currency"/>
    <tableColumn id="4" xr3:uid="{663A3CAC-B93E-4703-8B64-0A0819962437}" name="PC's" dataDxfId="27" totalsRowDxfId="26" dataCellStyle="Currency"/>
    <tableColumn id="2" xr3:uid="{5806903A-DE05-4384-A312-563786E56C58}" name="Needed to Buy" dataDxfId="25" totalsRowDxfId="24" dataCellStyle="Comma"/>
    <tableColumn id="8" xr3:uid="{A0B50653-0FB1-4D21-8A20-FAA95A4B1F77}" name="Total Price" totalsRowFunction="custom" dataDxfId="23" totalsRowDxfId="22" dataCellStyle="Currency">
      <calculatedColumnFormula>Table132[[#This Row],[Unit Price]]*Table132[[#This Row],[Needed to Buy]]+Table132[[#This Row],[Shipping]]</calculatedColumnFormula>
      <totalsRowFormula>SUM(Table132[Total Price])</totalsRowFormula>
    </tableColumn>
    <tableColumn id="6" xr3:uid="{515CF629-198C-414C-AF72-6CFCAEDCCA71}" name="Shipping Time (Days)" dataDxfId="21" totalsRowDxfId="20" dataCellStyle="Currency"/>
    <tableColumn id="10" xr3:uid="{68DD17EA-77A6-418D-8EA7-0A1B2711C634}" name="Link" dataDxfId="19" totalsRowDxfId="18" dataCellStyle="Hyperlink"/>
  </tableColumns>
  <tableStyleInfo name="TableStyleLight9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70F7C7-C273-4F13-85A8-F8896C12C9F4}" name="Table1325" displayName="Table1325" ref="A3:I9" totalsRowCount="1" headerRowDxfId="17" dataDxfId="16">
  <autoFilter ref="A3:I8" xr:uid="{E7F31172-D701-43B3-B363-E7128DEE1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9FC1643-C009-45D0-BEAC-B7631C32DA24}" name="Store Basket" totalsRowLabel="Total" dataDxfId="15" totalsRowDxfId="14"/>
    <tableColumn id="12" xr3:uid="{E1E8FB97-D6C0-4547-9C66-6B16A1884AD6}" name="Info" dataDxfId="13" totalsRowDxfId="12"/>
    <tableColumn id="5" xr3:uid="{BAB12CC7-BA69-4AC4-B361-A5D9BE286BC4}" name="Min Quantity"/>
    <tableColumn id="7" xr3:uid="{C17488F9-BC53-4EF5-9040-A1643599EECE}" name="Unit Price" dataDxfId="11" totalsRowDxfId="10" dataCellStyle="Currency"/>
    <tableColumn id="11" xr3:uid="{9DBCDFBA-1C9B-4A16-A86E-BF582EEC3A8E}" name="Shipping" dataDxfId="9" totalsRowDxfId="8" dataCellStyle="Currency"/>
    <tableColumn id="2" xr3:uid="{8C88220A-F43F-466B-B51D-C9AE32690669}" name="Needed to Buy" dataDxfId="7" totalsRowDxfId="6" dataCellStyle="Comma"/>
    <tableColumn id="8" xr3:uid="{D786A848-60A1-48EE-A476-5E0C9A40C298}" name="Total Price" totalsRowFunction="custom" dataDxfId="5" totalsRowDxfId="4" dataCellStyle="Currency">
      <calculatedColumnFormula>Table1325[[#This Row],[Unit Price]]*Table1325[[#This Row],[Needed to Buy]]+Table1325[[#This Row],[Shipping]]</calculatedColumnFormula>
      <totalsRowFormula>SUM(Table1325[Total Price])</totalsRowFormula>
    </tableColumn>
    <tableColumn id="6" xr3:uid="{72B5CE47-971F-4990-87B1-19804E9DE094}" name="Shipping Time (Days)" dataDxfId="3" totalsRowDxfId="2" dataCellStyle="Currency"/>
    <tableColumn id="10" xr3:uid="{0B2088CA-3B32-4118-8FB4-509134215037}" name="Link" dataDxfId="1" totalsRowDxfId="0" dataCellStyle="Hyperlink"/>
  </tableColumns>
  <tableStyleInfo name="TableStyleLight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rt.jlcpcb.com/shopcart/cart?_t=1767553829179&amp;spm=Jlcpcb.Partcart&amp;up_spm=Jlcpcb.Loginpage.1003" TargetMode="External"/><Relationship Id="rId13" Type="http://schemas.openxmlformats.org/officeDocument/2006/relationships/hyperlink" Target="https://www.lcsc.com/product-detail/C282379.html" TargetMode="External"/><Relationship Id="rId18" Type="http://schemas.openxmlformats.org/officeDocument/2006/relationships/hyperlink" Target="https://www.aliexpress.com/p/shoppingcart/index.html?spm=a2g0o.cart.header.1.97d438da5Uqi5N" TargetMode="External"/><Relationship Id="rId26" Type="http://schemas.openxmlformats.org/officeDocument/2006/relationships/hyperlink" Target="https://www.aliexpress.com/item/1005005912274158.html?spm=a2g0o.cart.0.0.3ce238dal7PCA9&amp;mp=1&amp;pdp_npi=6%40dis%21GBP%21GBP%202.15%21GBP%202.01%21%21GBP%202.01%21%21%21%40211b430817687502873785341ee49e%2112000042341279925%21ct%21UK%212823273733%21%211%210%21" TargetMode="External"/><Relationship Id="rId3" Type="http://schemas.openxmlformats.org/officeDocument/2006/relationships/hyperlink" Target="https://www.aliexpress.com/p/shoppingcart/index.html?spm=a2g0o.cart.header.1.97d438da5Uqi5N" TargetMode="External"/><Relationship Id="rId21" Type="http://schemas.openxmlformats.org/officeDocument/2006/relationships/hyperlink" Target="https://www.aliexpress.com/item/1005005912274158.html?spm=a2g0o.cart.0.0.3ce238dal7PCA9&amp;mp=1&amp;pdp_npi=6%40dis%21GBP%21GBP%202.10%21GBP%200.76%21%21GBP%200.76%21%21%21%40211b430817687502873785341ee49e%2112000042341279903%21ct%21UK%212823273733%21%211%210%21" TargetMode="External"/><Relationship Id="rId7" Type="http://schemas.openxmlformats.org/officeDocument/2006/relationships/hyperlink" Target="https://www.ebay.co.uk/itm/333369363332?_skw=Flexible+PVC+Tubing+16mm&amp;itmmeta=01KDZQZW4SNXSVD0NEC8PFMZPH&amp;hash=item4d9e5ccb84%3Ag%3AEMIAAOSwDCFdrLwk&amp;itmprp=enc%3AAQAKAAAA0FkggFvd1GGDu0w3yXCmi1c0vuCniwYzodLfqpyB1H0qrLY3NK%2BftqnfPgkdNhGclJ9oQ%2FzmBn9kt7kRhVrQM9PfODa5mpjw1AJT6mavr3tKKOzFxJyFOsaCdO%2BFSe0R9479YAjfQbcWAw6IU51q0x1yeR47SEwakRq8odUNye0ZSf0TVZXy6xgpKChfGtJae82OtR4%2FNKI90s%2Bl0fS3mTDeQq2wqvhwTxiBK6A3jnCNyvruH0Z8aGxM24YDGxok5mAJDAsa2KvkIW4B8glu8n4%3D%7Ctkp%3ABlBMUMbC__fvZg&amp;var=542418692725" TargetMode="External"/><Relationship Id="rId12" Type="http://schemas.openxmlformats.org/officeDocument/2006/relationships/hyperlink" Target="https://www.lcsc.com/product-detail/C42370423.html" TargetMode="External"/><Relationship Id="rId17" Type="http://schemas.openxmlformats.org/officeDocument/2006/relationships/hyperlink" Target="https://www.lcsc.com/product-detail/C160315.html" TargetMode="External"/><Relationship Id="rId25" Type="http://schemas.openxmlformats.org/officeDocument/2006/relationships/hyperlink" Target="https://www.aliexpress.com/item/1005007270514533.html?spm=a2g0o.cart.0.0.3ce238dal7PCA9&amp;mp=1&amp;pdp_npi=6%40dis%21GBP%21GBP%201.89%21GBP%201.82%21%21GBP%201.82%21%21%21%40211b430817687502873785341ee49e%2112000040015104591%21ct%21UK%212823273733%21%211%210%21" TargetMode="External"/><Relationship Id="rId2" Type="http://schemas.openxmlformats.org/officeDocument/2006/relationships/hyperlink" Target="https://www.lcsc.com/cart" TargetMode="External"/><Relationship Id="rId16" Type="http://schemas.openxmlformats.org/officeDocument/2006/relationships/hyperlink" Target="https://www.lcsc.com/product-detail/C42431866.html" TargetMode="External"/><Relationship Id="rId20" Type="http://schemas.openxmlformats.org/officeDocument/2006/relationships/hyperlink" Target="https://www.aliexpress.com/item/1005008851917137.html?spm=a2g0o.cart.0.0.3ce238dal7PCA9&amp;mp=1&amp;pdp_npi=6%40dis%21GBP%21GBP%206.58%21GBP%203.09%21%21GBP%203.09%21%21%21%40211b430817687502873785341ee49e%2112000046944142282%21ct%21UK%212823273733%21%211%210%21" TargetMode="External"/><Relationship Id="rId29" Type="http://schemas.openxmlformats.org/officeDocument/2006/relationships/hyperlink" Target="https://www.aliexpress.com/item/32985147642.html?spm=a2g0o.cart.0.0.3ce238dal7PCA9&amp;mp=1&amp;pdp_npi=6%40dis%21GBP%21GBP%201.94%21GBP%201.94%21%21GBP%201.94%21%21%21%40211b430817687502873785341ee49e%2166859932211%21ct%21UK%212823273733%21%211%210%21" TargetMode="External"/><Relationship Id="rId1" Type="http://schemas.openxmlformats.org/officeDocument/2006/relationships/hyperlink" Target="https://www.ebay.co.uk/itm/195759492546?_skw=ESP32-WROOM-32D&amp;itmmeta=01KA3PAK167S9EF2QR962749PN&amp;hash=item2d942ccdc2%3Ag%3AVRkAAOSwlM9j6nLK&amp;itmprp=enc%3AAQAKAAAA8FkggFvd1GGDu0w3yXCmi1fkFse0q2aK72YSs1Ngl%2FzbcDq28oqnekHkuMK1EgmTSFPDU9O%2BpZKrCqli7JMx1y7bDN8UoQNCUXZGJTzAg8IxjtshZJKnVS6n3QZBUUzIzsgY919rBC0UpOPXgIoo0KBCLGGG96s9J1GmvIc27%2F2X%2F5sdBOT7uFk7Nq%2BL2ORy%2FPlXdFkLZIijttiRxWlE16kk64JrUeHeIHuS61jYDCY0SXY9hXjfRGjof%2FGA1PEHQIRI0Mu7%2BIUJTixzvjz0O38cgsVVe9nXvE2rmy2imEdVwtTq9Q8E%2Bx3%2B5QHqXf5aSQ%3D%3D%7Ctkp%3ABk9SR-ywqvbQZg&amp;var=495616952084" TargetMode="External"/><Relationship Id="rId6" Type="http://schemas.openxmlformats.org/officeDocument/2006/relationships/hyperlink" Target="https://www.ebay.co.uk/itm/133052308194?_skw=T-Piece&amp;itmmeta=01KF5W1XYFVM32WJARDY9XMV77&amp;hash=item1efa891ae2%3Ag%3AQbwAAOSwytZlaes8&amp;itmprp=enc%3AAQALAAAA4O7PUuNWmJ%2B%2BUShgI9tQz%2FpKm%2BOCAf3ijgH%2BiSMTdKTSIMZcKneniIXeqLFxrbaHkj8Y6y4R7wjVpjMHZFG8GaxUxVxypGXSSQFzoc6yZKGhj2xqWQKyY8c%2BS2hGyGnDNdbzHuWmJeZ%2BMN8yKD8uEXj4lfu4yCjQzeR5esoyvs6riMPgllQEVU3JNCAE%2F4vBN9XD9LiBlQr6gRJgBPXc%2BboG7sNnjM013r%2B0ZzYe3Bw2yTX65D8aB1xM0NtqeKo0swk0VbNfRcFhkcu0wKKY6UkJ8S%2BwppQMrOc5KQo9vHK%2F%7Ctkp%3ABFBMvt-HvPlm&amp;var=432352315321" TargetMode="External"/><Relationship Id="rId11" Type="http://schemas.openxmlformats.org/officeDocument/2006/relationships/hyperlink" Target="https://www.lcsc.com/product-detail/C157993.html" TargetMode="External"/><Relationship Id="rId24" Type="http://schemas.openxmlformats.org/officeDocument/2006/relationships/hyperlink" Target="https://www.aliexpress.com/item/1005007270514533.html?spm=a2g0o.cart.0.0.3ce238dal7PCA9&amp;mp=1&amp;pdp_npi=6%40dis%21GBP%21GBP%200.92%21GBP%200.90%21%21GBP%200.90%21%21%21%40211b430817687502873785341ee49e%2112000040015104582%21ct%21UK%212823273733%21%211%210%21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www.ebay.co.uk/itm/335504833393?_skw=mini+solar+pannel&amp;itmmeta=01KCCJD09VBA4EEE7GJJXSEM4M&amp;hash=item4e1da57b71%3Ag%3ARjYAAOSwDDhmoiD7&amp;itmprp=enc%3AAQAKAAAA8FkggFvd1GGDu0w3yXCmi1f9u5XbC1pKycssSKq6GdrM%2Byq%2FCCR7q0Tf2prPtJ9E60z0msclrpdWWG8Pt6tmY1Ljer4p%2BIZs%2BPqMlb5Oo3kboUvDx61j3ZC5cUJys%2B95CivgAqVl6ReU%2FMBW3CA9g%2BWmYspZuEAHZDOFYyBUh4U0pchFVE6QLDP347gWuGCegzbx%2FgUIbOXLbUZPUDzD8O0to325Kho3qgknK%2FKMqquEmCeVaYinOGeLNuj8a1tMMgdt%2FJN46pzG7WZjxjKKqM1M8krJWr4Two5GPdOmQXI0LD8pVpx8%2FmYiwnW24ncn4g%3D%3D%7Ctkp%3ABk9SR9qGtJLjZg&amp;var=544964340043" TargetMode="External"/><Relationship Id="rId15" Type="http://schemas.openxmlformats.org/officeDocument/2006/relationships/hyperlink" Target="https://www.lcsc.com/product-detail/C131337.html" TargetMode="External"/><Relationship Id="rId23" Type="http://schemas.openxmlformats.org/officeDocument/2006/relationships/hyperlink" Target="https://www.aliexpress.com/item/1005009025003911.html?spm=a2g0o.cart.0.0.3ce238dal7PCA9&amp;mp=1&amp;pdp_npi=6%40dis%21GBP%21GBP%201.32%21GBP%201.27%21%21GBP%201.27%21%21%21%40211b430817687502873785341ee49e%2112000047622686532%21ct%21UK%212823273733%21%211%210%21" TargetMode="External"/><Relationship Id="rId28" Type="http://schemas.openxmlformats.org/officeDocument/2006/relationships/hyperlink" Target="https://www.aliexpress.com/item/1005007532380394.html?spm=a2g0o.cart.0.0.3ce238dal7PCA9&amp;mp=1&amp;pdp_npi=6%40dis%21GBP%21GBP%209.81%21GBP%203.08%21%21GBP%203.08%21%21%21%40211b430817687502873785341ee49e%2112000041181081331%21ct%21UK%212823273733%21%212%210%21" TargetMode="External"/><Relationship Id="rId10" Type="http://schemas.openxmlformats.org/officeDocument/2006/relationships/hyperlink" Target="https://www.lcsc.com/product-detail/C22355741.html" TargetMode="External"/><Relationship Id="rId19" Type="http://schemas.openxmlformats.org/officeDocument/2006/relationships/hyperlink" Target="https://www.aliexpress.com/item/1005010342821748.html?spm=a2g0o.cart.0.0.3ce238dal7PCA9&amp;mp=1&amp;pdp_npi=6%40dis%21GBP%21GBP%203.90%21GBP%201.79%21%21GBP%201.79%21%21%21%40211b430817687502873785341ee49e%2112000052048690777%21ct%21UK%212823273733%21%211%210%21" TargetMode="External"/><Relationship Id="rId31" Type="http://schemas.openxmlformats.org/officeDocument/2006/relationships/hyperlink" Target="https://www.lcsc.com/product-detail/C5371990.html?s_z=n_PM2.54-1X19P-H85" TargetMode="External"/><Relationship Id="rId4" Type="http://schemas.openxmlformats.org/officeDocument/2006/relationships/hyperlink" Target="https://www.ebay.co.uk/itm/254771123006?_skw=Li-ion+charge+controller&amp;itmmeta=01KCE8GVJEVT9J6W3MWF6TEBNC&amp;hash=item3b518ad33e:g:7VEAAOSw7ixfpk74&amp;itmprp=enc%3AAQAKAAAA8FkggFvd1GGDu0w3yXCmi1eDJMWTOFINEiVG92ipCzvzAFRg%2BQBYdroOxvs36lGQ1c8Sepvc1auCZW1ZE61%2BLyz0X8wkkEo9XNBcD%2B0Wai2PjpqOJcwH5RNj02BNqoN2E%2FK78s3y7UX0VCugK1MsSpblRYAFRMJVCDWoIiPXkknU6mJMBPJmsQIDGtfe8ajTmnV4kiTt7dEY%2F4RLIGPxBtCwgnUTspzg%2BOv2AzBvch0t8e1nbsAZ4blrNnDN0Fm03kvrrXfyBf3TQVlyzH01ZTDIJZb94zUzlUflQCe673ZgLfBoVHNII0wMY93oqfSJTA%3D%3D%7Ctkp%3ABk9SR7y5w8jjZg" TargetMode="External"/><Relationship Id="rId9" Type="http://schemas.openxmlformats.org/officeDocument/2006/relationships/hyperlink" Target="https://cart.ebay.co.uk/" TargetMode="External"/><Relationship Id="rId14" Type="http://schemas.openxmlformats.org/officeDocument/2006/relationships/hyperlink" Target="https://www.lcsc.com/product-detail/C507175.html" TargetMode="External"/><Relationship Id="rId22" Type="http://schemas.openxmlformats.org/officeDocument/2006/relationships/hyperlink" Target="https://www.aliexpress.com/item/1005008953348410.html?spm=a2g0o.cart.0.0.3ce238dal7PCA9&amp;mp=1&amp;pdp_npi=6%40dis%21GBP%21GBP%201.89%21GBP%201.89%21%21GBP%201.89%21%21%21%40211b430817687502873785341ee49e%2112000047345904612%21ct%21UK%212823273733%21%211%210%21" TargetMode="External"/><Relationship Id="rId27" Type="http://schemas.openxmlformats.org/officeDocument/2006/relationships/hyperlink" Target="https://www.aliexpress.com/item/1005007457199939.html?spm=a2g0o.cart.0.0.3ce238dal7PCA9&amp;mp=1&amp;pdp_npi=6%40dis%21GBP%21GBP%2011.98%21GBP%203.83%21%21GBP%203.83%21%21%21%40211b430817687502873785341ee49e%2112000040834375599%21ct%21UK%212823273733%21%211%210%21" TargetMode="External"/><Relationship Id="rId30" Type="http://schemas.openxmlformats.org/officeDocument/2006/relationships/hyperlink" Target="https://www.aliexpress.com/item/32908593252.html?spm=a2g0o.cart.0.0.3ce238dal7PCA9&amp;mp=1&amp;pdp_npi=6%40dis%21GBP%21GBP%209.51%21GBP%205.99%21%21GBP%205.99%21%21%21%40211b430817687502873785341ee49e%2165911281559%21ct%21UK%212823273733%21%211%210%2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p/shoppingcart/index.html?spm=a2g0o.cart.header.1.97d438da5Uqi5N" TargetMode="External"/><Relationship Id="rId2" Type="http://schemas.openxmlformats.org/officeDocument/2006/relationships/hyperlink" Target="https://www.lcsc.com/cart" TargetMode="External"/><Relationship Id="rId1" Type="http://schemas.openxmlformats.org/officeDocument/2006/relationships/hyperlink" Target="https://cart.jlcpcb.com/shopcart/cart?_t=1767553829179&amp;spm=Jlcpcb.Partcart&amp;up_spm=Jlcpcb.Loginpage.1003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cart.ebay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A867-AF99-4863-B5FF-AF28D5FD4C20}">
  <dimension ref="A1:M37"/>
  <sheetViews>
    <sheetView tabSelected="1" workbookViewId="0">
      <selection activeCell="A2" sqref="A2:E2"/>
    </sheetView>
  </sheetViews>
  <sheetFormatPr defaultColWidth="20.7109375" defaultRowHeight="24.95" customHeight="1" x14ac:dyDescent="0.25"/>
  <cols>
    <col min="1" max="2" width="20.7109375" style="3"/>
    <col min="3" max="3" width="20.7109375" style="3" customWidth="1"/>
    <col min="4" max="4" width="25.7109375" style="3" customWidth="1"/>
    <col min="5" max="5" width="15.7109375" style="3" customWidth="1"/>
    <col min="6" max="7" width="20.7109375" style="3"/>
    <col min="8" max="9" width="15.7109375" style="3" customWidth="1"/>
    <col min="10" max="10" width="20.7109375" style="3"/>
    <col min="11" max="11" width="20.7109375" style="3" customWidth="1"/>
    <col min="12" max="12" width="15.7109375" style="3" customWidth="1"/>
    <col min="13" max="16384" width="20.7109375" style="3"/>
  </cols>
  <sheetData>
    <row r="1" spans="1:13" customFormat="1" ht="24.95" customHeight="1" x14ac:dyDescent="0.25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3"/>
    </row>
    <row r="2" spans="1:13" customFormat="1" ht="24.95" customHeight="1" x14ac:dyDescent="0.25">
      <c r="A2" s="12" t="s">
        <v>7</v>
      </c>
      <c r="B2" s="12"/>
      <c r="C2" s="12"/>
      <c r="D2" s="12"/>
      <c r="E2" s="12"/>
      <c r="F2" s="12" t="s">
        <v>10</v>
      </c>
      <c r="G2" s="12"/>
      <c r="H2" s="12"/>
      <c r="I2" s="12"/>
      <c r="J2" s="12"/>
      <c r="K2" s="12"/>
      <c r="L2" s="12"/>
      <c r="M2" s="3"/>
    </row>
    <row r="3" spans="1:13" customFormat="1" ht="24.95" customHeight="1" x14ac:dyDescent="0.25">
      <c r="A3" s="2" t="s">
        <v>44</v>
      </c>
      <c r="B3" s="2" t="s">
        <v>0</v>
      </c>
      <c r="C3" s="2" t="s">
        <v>1</v>
      </c>
      <c r="D3" s="2" t="s">
        <v>39</v>
      </c>
      <c r="E3" s="2" t="s">
        <v>38</v>
      </c>
      <c r="F3" s="2" t="s">
        <v>19</v>
      </c>
      <c r="G3" s="2" t="s">
        <v>5</v>
      </c>
      <c r="H3" s="2" t="s">
        <v>3</v>
      </c>
      <c r="I3" s="2" t="s">
        <v>11</v>
      </c>
      <c r="J3" s="2" t="s">
        <v>6</v>
      </c>
      <c r="K3" s="2" t="s">
        <v>13</v>
      </c>
      <c r="L3" s="2" t="s">
        <v>2</v>
      </c>
      <c r="M3" s="3"/>
    </row>
    <row r="4" spans="1:13" ht="24.95" customHeight="1" x14ac:dyDescent="0.25">
      <c r="A4" s="3" t="s">
        <v>21</v>
      </c>
      <c r="C4" s="1"/>
      <c r="D4" s="1" t="s">
        <v>20</v>
      </c>
      <c r="E4" s="1"/>
      <c r="F4" s="6"/>
      <c r="G4" s="6">
        <v>1.1200000000000001</v>
      </c>
      <c r="H4" s="9"/>
      <c r="I4" s="8">
        <v>1</v>
      </c>
      <c r="J4" s="6">
        <f>Table132[[#This Row],[Unit Price]]*Table132[[#This Row],[Needed to Buy]]+Table132[[#This Row],[Shipping]]</f>
        <v>1.1200000000000001</v>
      </c>
      <c r="K4" s="10" t="s">
        <v>22</v>
      </c>
      <c r="L4" s="4" t="s">
        <v>21</v>
      </c>
    </row>
    <row r="5" spans="1:13" ht="24.95" customHeight="1" x14ac:dyDescent="0.25">
      <c r="A5" s="1" t="s">
        <v>14</v>
      </c>
      <c r="B5" s="3" t="s">
        <v>50</v>
      </c>
      <c r="C5" s="3" t="s">
        <v>52</v>
      </c>
      <c r="E5" s="1">
        <v>1</v>
      </c>
      <c r="F5" s="6">
        <v>0.86</v>
      </c>
      <c r="G5" s="6">
        <v>0</v>
      </c>
      <c r="H5" s="9">
        <v>5</v>
      </c>
      <c r="I5" s="8">
        <v>1</v>
      </c>
      <c r="J5" s="6">
        <f>Table132[[#This Row],[Unit Price]]*Table132[[#This Row],[Needed to Buy]]+Table132[[#This Row],[Shipping]]</f>
        <v>0.86</v>
      </c>
      <c r="K5" s="10" t="s">
        <v>14</v>
      </c>
      <c r="L5" s="11"/>
    </row>
    <row r="6" spans="1:13" ht="24.95" customHeight="1" x14ac:dyDescent="0.25">
      <c r="A6" s="1" t="s">
        <v>14</v>
      </c>
      <c r="B6" s="3" t="s">
        <v>51</v>
      </c>
      <c r="C6" s="3" t="s">
        <v>52</v>
      </c>
      <c r="E6" s="1">
        <v>1</v>
      </c>
      <c r="F6" s="6">
        <v>0.86</v>
      </c>
      <c r="G6" s="6">
        <v>0</v>
      </c>
      <c r="H6" s="9">
        <v>5</v>
      </c>
      <c r="I6" s="8">
        <v>1</v>
      </c>
      <c r="J6" s="6">
        <f>Table132[[#This Row],[Unit Price]]*Table132[[#This Row],[Needed to Buy]]+Table132[[#This Row],[Shipping]]</f>
        <v>0.86</v>
      </c>
      <c r="K6" s="10" t="s">
        <v>14</v>
      </c>
      <c r="L6" s="11"/>
    </row>
    <row r="7" spans="1:13" ht="24.95" customHeight="1" x14ac:dyDescent="0.25">
      <c r="A7" s="3" t="s">
        <v>23</v>
      </c>
      <c r="C7" s="1"/>
      <c r="D7" s="1"/>
      <c r="E7" s="1"/>
      <c r="F7" s="6">
        <v>2.2000000000000002</v>
      </c>
      <c r="G7" s="6">
        <v>5.94</v>
      </c>
      <c r="H7" s="9"/>
      <c r="I7" s="8">
        <v>1</v>
      </c>
      <c r="J7" s="6">
        <f>Table132[[#This Row],[Unit Price]]*Table132[[#This Row],[Needed to Buy]]+Table132[[#This Row],[Shipping]]</f>
        <v>8.14</v>
      </c>
      <c r="K7" s="10" t="s">
        <v>24</v>
      </c>
      <c r="L7" s="4" t="s">
        <v>23</v>
      </c>
      <c r="M7" s="1"/>
    </row>
    <row r="8" spans="1:13" ht="24.95" customHeight="1" x14ac:dyDescent="0.25">
      <c r="A8" s="1" t="s">
        <v>14</v>
      </c>
      <c r="B8" s="3" t="s">
        <v>63</v>
      </c>
      <c r="C8" s="3" t="s">
        <v>53</v>
      </c>
      <c r="E8" s="1">
        <v>3</v>
      </c>
      <c r="F8" s="6">
        <v>0.41</v>
      </c>
      <c r="G8" s="6">
        <v>0</v>
      </c>
      <c r="H8" s="9">
        <v>10</v>
      </c>
      <c r="I8" s="8">
        <v>1</v>
      </c>
      <c r="J8" s="6">
        <f>Table132[[#This Row],[Unit Price]]*Table132[[#This Row],[Needed to Buy]]+Table132[[#This Row],[Shipping]]</f>
        <v>0.41</v>
      </c>
      <c r="K8" s="10" t="s">
        <v>14</v>
      </c>
      <c r="L8" s="11" t="s">
        <v>23</v>
      </c>
      <c r="M8" s="1"/>
    </row>
    <row r="9" spans="1:13" ht="24.95" customHeight="1" x14ac:dyDescent="0.25">
      <c r="A9" s="1" t="s">
        <v>14</v>
      </c>
      <c r="B9" s="3" t="s">
        <v>93</v>
      </c>
      <c r="C9" s="3" t="s">
        <v>54</v>
      </c>
      <c r="D9" s="3" t="s">
        <v>94</v>
      </c>
      <c r="E9" s="1">
        <v>1</v>
      </c>
      <c r="F9" s="6">
        <v>0.16</v>
      </c>
      <c r="G9" s="6">
        <v>0</v>
      </c>
      <c r="H9" s="9">
        <v>3</v>
      </c>
      <c r="I9" s="8">
        <v>1</v>
      </c>
      <c r="J9" s="6">
        <f>Table132[[#This Row],[Unit Price]]*Table132[[#This Row],[Needed to Buy]]+Table132[[#This Row],[Shipping]]</f>
        <v>0.16</v>
      </c>
      <c r="K9" s="10" t="s">
        <v>14</v>
      </c>
      <c r="L9" s="11" t="s">
        <v>23</v>
      </c>
      <c r="M9" s="1"/>
    </row>
    <row r="10" spans="1:13" ht="24.95" customHeight="1" x14ac:dyDescent="0.25">
      <c r="A10" s="1" t="s">
        <v>14</v>
      </c>
      <c r="B10" s="3" t="s">
        <v>62</v>
      </c>
      <c r="C10" s="3" t="s">
        <v>55</v>
      </c>
      <c r="E10" s="1">
        <v>3</v>
      </c>
      <c r="F10" s="6">
        <v>0.38</v>
      </c>
      <c r="G10" s="6">
        <v>0</v>
      </c>
      <c r="H10" s="9">
        <v>10</v>
      </c>
      <c r="I10" s="8">
        <v>1</v>
      </c>
      <c r="J10" s="6">
        <f>Table132[[#This Row],[Unit Price]]*Table132[[#This Row],[Needed to Buy]]+Table132[[#This Row],[Shipping]]</f>
        <v>0.38</v>
      </c>
      <c r="K10" s="10" t="s">
        <v>14</v>
      </c>
      <c r="L10" s="11" t="s">
        <v>23</v>
      </c>
      <c r="M10" s="1"/>
    </row>
    <row r="11" spans="1:13" ht="24.95" customHeight="1" x14ac:dyDescent="0.25">
      <c r="A11" s="1" t="s">
        <v>14</v>
      </c>
      <c r="B11" s="3" t="s">
        <v>89</v>
      </c>
      <c r="C11" s="3" t="s">
        <v>56</v>
      </c>
      <c r="D11" s="3" t="s">
        <v>88</v>
      </c>
      <c r="E11" s="1">
        <v>6</v>
      </c>
      <c r="F11" s="6">
        <v>3.22</v>
      </c>
      <c r="G11" s="6">
        <v>0</v>
      </c>
      <c r="H11" s="9">
        <v>15</v>
      </c>
      <c r="I11" s="8">
        <v>1</v>
      </c>
      <c r="J11" s="6">
        <f>Table132[[#This Row],[Unit Price]]*Table132[[#This Row],[Needed to Buy]]+Table132[[#This Row],[Shipping]]</f>
        <v>3.22</v>
      </c>
      <c r="K11" s="10" t="s">
        <v>14</v>
      </c>
      <c r="L11" s="11" t="s">
        <v>23</v>
      </c>
      <c r="M11" s="1"/>
    </row>
    <row r="12" spans="1:13" ht="24.95" customHeight="1" x14ac:dyDescent="0.25">
      <c r="A12" s="1" t="s">
        <v>14</v>
      </c>
      <c r="B12" s="3" t="s">
        <v>91</v>
      </c>
      <c r="C12" s="3" t="s">
        <v>57</v>
      </c>
      <c r="D12" s="3" t="s">
        <v>90</v>
      </c>
      <c r="E12" s="1">
        <v>6</v>
      </c>
      <c r="F12" s="6">
        <v>1.34</v>
      </c>
      <c r="G12" s="6">
        <v>0</v>
      </c>
      <c r="H12" s="9">
        <v>15</v>
      </c>
      <c r="I12" s="8">
        <v>1</v>
      </c>
      <c r="J12" s="6">
        <f>Table132[[#This Row],[Unit Price]]*Table132[[#This Row],[Needed to Buy]]+Table132[[#This Row],[Shipping]]</f>
        <v>1.34</v>
      </c>
      <c r="K12" s="10" t="s">
        <v>14</v>
      </c>
      <c r="L12" s="11" t="s">
        <v>23</v>
      </c>
      <c r="M12" s="1"/>
    </row>
    <row r="13" spans="1:13" ht="24.95" customHeight="1" x14ac:dyDescent="0.25">
      <c r="A13" s="1" t="s">
        <v>14</v>
      </c>
      <c r="B13" s="3" t="s">
        <v>9</v>
      </c>
      <c r="C13" s="3" t="s">
        <v>58</v>
      </c>
      <c r="D13" s="3" t="s">
        <v>92</v>
      </c>
      <c r="E13" s="1">
        <v>1</v>
      </c>
      <c r="F13" s="6">
        <v>0.52</v>
      </c>
      <c r="G13" s="6">
        <v>0</v>
      </c>
      <c r="H13" s="9">
        <v>5</v>
      </c>
      <c r="I13" s="8">
        <v>1</v>
      </c>
      <c r="J13" s="6">
        <f>Table132[[#This Row],[Unit Price]]*Table132[[#This Row],[Needed to Buy]]+Table132[[#This Row],[Shipping]]</f>
        <v>0.52</v>
      </c>
      <c r="K13" s="10" t="s">
        <v>14</v>
      </c>
      <c r="L13" s="11" t="s">
        <v>23</v>
      </c>
      <c r="M13" s="1"/>
    </row>
    <row r="14" spans="1:13" ht="24.95" customHeight="1" x14ac:dyDescent="0.25">
      <c r="A14" s="1" t="s">
        <v>14</v>
      </c>
      <c r="B14" s="3" t="s">
        <v>61</v>
      </c>
      <c r="C14" s="3" t="s">
        <v>59</v>
      </c>
      <c r="E14" s="1">
        <v>1</v>
      </c>
      <c r="F14" s="6">
        <v>0.43</v>
      </c>
      <c r="G14" s="6">
        <v>0</v>
      </c>
      <c r="H14" s="9">
        <v>20</v>
      </c>
      <c r="I14" s="8">
        <v>1</v>
      </c>
      <c r="J14" s="6">
        <f>Table132[[#This Row],[Unit Price]]*Table132[[#This Row],[Needed to Buy]]+Table132[[#This Row],[Shipping]]</f>
        <v>0.43</v>
      </c>
      <c r="K14" s="10" t="s">
        <v>14</v>
      </c>
      <c r="L14" s="11" t="s">
        <v>23</v>
      </c>
      <c r="M14" s="1"/>
    </row>
    <row r="15" spans="1:13" ht="24.95" customHeight="1" x14ac:dyDescent="0.25">
      <c r="A15" s="1" t="s">
        <v>14</v>
      </c>
      <c r="B15" s="3" t="s">
        <v>64</v>
      </c>
      <c r="C15" s="3" t="s">
        <v>60</v>
      </c>
      <c r="E15" s="1">
        <v>1</v>
      </c>
      <c r="F15" s="6">
        <v>0.11</v>
      </c>
      <c r="G15" s="6">
        <v>0</v>
      </c>
      <c r="H15" s="9">
        <v>5</v>
      </c>
      <c r="I15" s="8">
        <v>1</v>
      </c>
      <c r="J15" s="6">
        <f>Table132[[#This Row],[Unit Price]]*Table132[[#This Row],[Needed to Buy]]+Table132[[#This Row],[Shipping]]</f>
        <v>0.11</v>
      </c>
      <c r="K15" s="10" t="s">
        <v>14</v>
      </c>
      <c r="L15" s="11" t="s">
        <v>23</v>
      </c>
      <c r="M15" s="1"/>
    </row>
    <row r="16" spans="1:13" ht="24.95" customHeight="1" x14ac:dyDescent="0.25">
      <c r="B16" s="3" t="s">
        <v>96</v>
      </c>
      <c r="C16" s="3" t="s">
        <v>95</v>
      </c>
      <c r="E16" s="1">
        <v>2</v>
      </c>
      <c r="F16" s="6">
        <v>0.69</v>
      </c>
      <c r="G16" s="6">
        <v>0</v>
      </c>
      <c r="H16" s="9">
        <v>5</v>
      </c>
      <c r="I16" s="8">
        <v>1</v>
      </c>
      <c r="J16" s="6">
        <f>Table132[[#This Row],[Unit Price]]*Table132[[#This Row],[Needed to Buy]]+Table132[[#This Row],[Shipping]]</f>
        <v>0.69</v>
      </c>
      <c r="K16" s="10" t="s">
        <v>14</v>
      </c>
      <c r="L16" s="11" t="s">
        <v>23</v>
      </c>
      <c r="M16" s="1"/>
    </row>
    <row r="17" spans="1:12" ht="24.95" customHeight="1" x14ac:dyDescent="0.25">
      <c r="A17" s="3" t="s">
        <v>42</v>
      </c>
      <c r="E17" s="1"/>
      <c r="F17" s="6"/>
      <c r="G17" s="6"/>
      <c r="H17" s="9"/>
      <c r="I17" s="8">
        <v>1</v>
      </c>
      <c r="J17" s="6">
        <f>Table132[[#This Row],[Unit Price]]*Table132[[#This Row],[Needed to Buy]]+Table132[[#This Row],[Shipping]]</f>
        <v>0</v>
      </c>
      <c r="K17" s="10" t="s">
        <v>86</v>
      </c>
      <c r="L17" s="4" t="s">
        <v>42</v>
      </c>
    </row>
    <row r="18" spans="1:12" ht="24.95" customHeight="1" x14ac:dyDescent="0.25">
      <c r="A18" s="1" t="s">
        <v>14</v>
      </c>
      <c r="B18" s="3" t="s">
        <v>65</v>
      </c>
      <c r="C18" s="3" t="s">
        <v>66</v>
      </c>
      <c r="E18" s="1">
        <v>1</v>
      </c>
      <c r="F18" s="6">
        <v>1.79</v>
      </c>
      <c r="G18" s="6">
        <v>0</v>
      </c>
      <c r="H18" s="9">
        <v>1</v>
      </c>
      <c r="I18" s="8">
        <v>1</v>
      </c>
      <c r="J18" s="6">
        <f>Table132[[#This Row],[Unit Price]]*Table132[[#This Row],[Needed to Buy]]+Table132[[#This Row],[Shipping]]</f>
        <v>1.79</v>
      </c>
      <c r="K18" s="10" t="s">
        <v>14</v>
      </c>
      <c r="L18" s="11" t="s">
        <v>42</v>
      </c>
    </row>
    <row r="19" spans="1:12" ht="24.95" customHeight="1" x14ac:dyDescent="0.25">
      <c r="A19" s="1" t="s">
        <v>14</v>
      </c>
      <c r="B19" s="3" t="s">
        <v>67</v>
      </c>
      <c r="D19" s="3" t="s">
        <v>68</v>
      </c>
      <c r="E19" s="1">
        <v>1</v>
      </c>
      <c r="F19" s="6">
        <v>3.09</v>
      </c>
      <c r="G19" s="6">
        <v>0</v>
      </c>
      <c r="H19" s="9">
        <v>1</v>
      </c>
      <c r="I19" s="8">
        <v>1</v>
      </c>
      <c r="J19" s="6">
        <f>Table132[[#This Row],[Unit Price]]*Table132[[#This Row],[Needed to Buy]]+Table132[[#This Row],[Shipping]]</f>
        <v>3.09</v>
      </c>
      <c r="K19" s="10" t="s">
        <v>14</v>
      </c>
      <c r="L19" s="11" t="s">
        <v>42</v>
      </c>
    </row>
    <row r="20" spans="1:12" ht="24.95" customHeight="1" x14ac:dyDescent="0.25">
      <c r="A20" s="1" t="s">
        <v>14</v>
      </c>
      <c r="B20" s="3" t="s">
        <v>71</v>
      </c>
      <c r="D20" s="3" t="s">
        <v>72</v>
      </c>
      <c r="E20" s="1">
        <v>2</v>
      </c>
      <c r="F20" s="6">
        <v>0.76</v>
      </c>
      <c r="G20" s="6">
        <v>0</v>
      </c>
      <c r="H20" s="9">
        <v>5</v>
      </c>
      <c r="I20" s="8">
        <v>1</v>
      </c>
      <c r="J20" s="6">
        <f>Table132[[#This Row],[Unit Price]]*Table132[[#This Row],[Needed to Buy]]+Table132[[#This Row],[Shipping]]</f>
        <v>0.76</v>
      </c>
      <c r="K20" s="10" t="s">
        <v>14</v>
      </c>
      <c r="L20" s="11" t="s">
        <v>42</v>
      </c>
    </row>
    <row r="21" spans="1:12" ht="24.95" customHeight="1" x14ac:dyDescent="0.25">
      <c r="A21" s="1" t="s">
        <v>14</v>
      </c>
      <c r="B21" s="3" t="s">
        <v>30</v>
      </c>
      <c r="C21" s="3" t="s">
        <v>73</v>
      </c>
      <c r="D21" s="3" t="s">
        <v>74</v>
      </c>
      <c r="E21" s="1">
        <v>2</v>
      </c>
      <c r="F21" s="6">
        <v>1.89</v>
      </c>
      <c r="G21" s="6">
        <v>0</v>
      </c>
      <c r="H21" s="9">
        <v>5</v>
      </c>
      <c r="I21" s="8">
        <v>1</v>
      </c>
      <c r="J21" s="6">
        <f>Table132[[#This Row],[Unit Price]]*Table132[[#This Row],[Needed to Buy]]+Table132[[#This Row],[Shipping]]</f>
        <v>1.89</v>
      </c>
      <c r="K21" s="10" t="s">
        <v>14</v>
      </c>
      <c r="L21" s="11" t="s">
        <v>42</v>
      </c>
    </row>
    <row r="22" spans="1:12" ht="24.95" customHeight="1" x14ac:dyDescent="0.25">
      <c r="A22" s="1" t="s">
        <v>14</v>
      </c>
      <c r="B22" s="3" t="s">
        <v>76</v>
      </c>
      <c r="D22" s="3" t="s">
        <v>75</v>
      </c>
      <c r="E22" s="1">
        <v>2</v>
      </c>
      <c r="F22" s="6">
        <v>1.27</v>
      </c>
      <c r="G22" s="6">
        <v>0</v>
      </c>
      <c r="H22" s="9">
        <v>5</v>
      </c>
      <c r="I22" s="8">
        <v>1</v>
      </c>
      <c r="J22" s="6">
        <f>Table132[[#This Row],[Unit Price]]*Table132[[#This Row],[Needed to Buy]]+Table132[[#This Row],[Shipping]]</f>
        <v>1.27</v>
      </c>
      <c r="K22" s="10" t="s">
        <v>14</v>
      </c>
      <c r="L22" s="11" t="s">
        <v>42</v>
      </c>
    </row>
    <row r="23" spans="1:12" ht="24.95" customHeight="1" x14ac:dyDescent="0.25">
      <c r="A23" s="1" t="s">
        <v>14</v>
      </c>
      <c r="B23" s="3" t="s">
        <v>78</v>
      </c>
      <c r="D23" s="3" t="s">
        <v>79</v>
      </c>
      <c r="E23" s="1">
        <v>1</v>
      </c>
      <c r="F23" s="6">
        <v>0.9</v>
      </c>
      <c r="G23" s="6">
        <v>0</v>
      </c>
      <c r="H23" s="9">
        <v>10</v>
      </c>
      <c r="I23" s="8">
        <v>1</v>
      </c>
      <c r="J23" s="6">
        <f>Table132[[#This Row],[Unit Price]]*Table132[[#This Row],[Needed to Buy]]+Table132[[#This Row],[Shipping]]</f>
        <v>0.9</v>
      </c>
      <c r="K23" s="10" t="s">
        <v>14</v>
      </c>
      <c r="L23" s="11" t="s">
        <v>42</v>
      </c>
    </row>
    <row r="24" spans="1:12" ht="24.95" customHeight="1" x14ac:dyDescent="0.25">
      <c r="A24" s="1" t="s">
        <v>14</v>
      </c>
      <c r="B24" s="3" t="s">
        <v>77</v>
      </c>
      <c r="D24" s="3" t="s">
        <v>79</v>
      </c>
      <c r="E24" s="1">
        <v>2</v>
      </c>
      <c r="F24" s="6">
        <v>1.82</v>
      </c>
      <c r="G24" s="6">
        <v>0</v>
      </c>
      <c r="H24" s="9">
        <v>10</v>
      </c>
      <c r="I24" s="8">
        <v>1</v>
      </c>
      <c r="J24" s="6">
        <f>Table132[[#This Row],[Unit Price]]*Table132[[#This Row],[Needed to Buy]]+Table132[[#This Row],[Shipping]]</f>
        <v>1.82</v>
      </c>
      <c r="K24" s="10" t="s">
        <v>14</v>
      </c>
      <c r="L24" s="11" t="s">
        <v>42</v>
      </c>
    </row>
    <row r="25" spans="1:12" ht="24.95" customHeight="1" x14ac:dyDescent="0.25">
      <c r="A25" s="1" t="s">
        <v>14</v>
      </c>
      <c r="B25" s="3" t="s">
        <v>71</v>
      </c>
      <c r="D25" s="3" t="s">
        <v>80</v>
      </c>
      <c r="E25" s="1">
        <v>3</v>
      </c>
      <c r="F25" s="6">
        <v>2.0099999999999998</v>
      </c>
      <c r="G25" s="6">
        <v>0</v>
      </c>
      <c r="H25" s="9">
        <v>5</v>
      </c>
      <c r="I25" s="8">
        <v>1</v>
      </c>
      <c r="J25" s="6">
        <f>Table132[[#This Row],[Unit Price]]*Table132[[#This Row],[Needed to Buy]]+Table132[[#This Row],[Shipping]]</f>
        <v>2.0099999999999998</v>
      </c>
      <c r="K25" s="10" t="s">
        <v>14</v>
      </c>
      <c r="L25" s="11" t="s">
        <v>42</v>
      </c>
    </row>
    <row r="26" spans="1:12" ht="24.95" customHeight="1" x14ac:dyDescent="0.25">
      <c r="A26" s="1" t="s">
        <v>14</v>
      </c>
      <c r="B26" s="3" t="s">
        <v>36</v>
      </c>
      <c r="C26" s="3" t="s">
        <v>37</v>
      </c>
      <c r="D26" s="3" t="s">
        <v>81</v>
      </c>
      <c r="E26" s="1">
        <v>1</v>
      </c>
      <c r="F26" s="6">
        <v>3.83</v>
      </c>
      <c r="G26" s="6">
        <v>0</v>
      </c>
      <c r="H26" s="9">
        <v>1</v>
      </c>
      <c r="I26" s="8">
        <v>1</v>
      </c>
      <c r="J26" s="6">
        <f>Table132[[#This Row],[Unit Price]]*Table132[[#This Row],[Needed to Buy]]+Table132[[#This Row],[Shipping]]</f>
        <v>3.83</v>
      </c>
      <c r="K26" s="10" t="s">
        <v>14</v>
      </c>
      <c r="L26" s="11" t="s">
        <v>42</v>
      </c>
    </row>
    <row r="27" spans="1:12" ht="24.95" customHeight="1" x14ac:dyDescent="0.25">
      <c r="A27" s="1" t="s">
        <v>14</v>
      </c>
      <c r="B27" s="3" t="s">
        <v>35</v>
      </c>
      <c r="C27" s="3" t="s">
        <v>82</v>
      </c>
      <c r="D27" s="3" t="s">
        <v>83</v>
      </c>
      <c r="E27" s="1">
        <v>2</v>
      </c>
      <c r="F27" s="6">
        <v>3.08</v>
      </c>
      <c r="G27" s="6">
        <v>0</v>
      </c>
      <c r="H27" s="9">
        <v>1</v>
      </c>
      <c r="I27" s="8">
        <v>2</v>
      </c>
      <c r="J27" s="6">
        <f>Table132[[#This Row],[Unit Price]]*Table132[[#This Row],[Needed to Buy]]+Table132[[#This Row],[Shipping]]</f>
        <v>6.16</v>
      </c>
      <c r="K27" s="10" t="s">
        <v>14</v>
      </c>
      <c r="L27" s="11" t="s">
        <v>42</v>
      </c>
    </row>
    <row r="28" spans="1:12" ht="24.95" customHeight="1" x14ac:dyDescent="0.25">
      <c r="A28" s="1" t="s">
        <v>14</v>
      </c>
      <c r="B28" s="3" t="s">
        <v>25</v>
      </c>
      <c r="C28" s="3" t="s">
        <v>84</v>
      </c>
      <c r="E28" s="1">
        <v>1</v>
      </c>
      <c r="F28" s="6">
        <v>1.94</v>
      </c>
      <c r="G28" s="6">
        <v>0</v>
      </c>
      <c r="H28" s="9">
        <v>1</v>
      </c>
      <c r="I28" s="8">
        <v>1</v>
      </c>
      <c r="J28" s="6">
        <f>Table132[[#This Row],[Unit Price]]*Table132[[#This Row],[Needed to Buy]]+Table132[[#This Row],[Shipping]]</f>
        <v>1.94</v>
      </c>
      <c r="K28" s="10" t="s">
        <v>14</v>
      </c>
      <c r="L28" s="11" t="s">
        <v>42</v>
      </c>
    </row>
    <row r="29" spans="1:12" ht="24.95" customHeight="1" x14ac:dyDescent="0.25">
      <c r="A29" s="1" t="s">
        <v>14</v>
      </c>
      <c r="B29" s="3" t="s">
        <v>27</v>
      </c>
      <c r="C29" s="3">
        <v>5050100</v>
      </c>
      <c r="D29" s="3" t="s">
        <v>85</v>
      </c>
      <c r="E29" s="1">
        <v>1</v>
      </c>
      <c r="F29" s="6">
        <v>5.99</v>
      </c>
      <c r="G29" s="6">
        <v>2.81</v>
      </c>
      <c r="H29" s="9">
        <v>1</v>
      </c>
      <c r="I29" s="8">
        <v>1</v>
      </c>
      <c r="J29" s="6">
        <f>Table132[[#This Row],[Unit Price]]*Table132[[#This Row],[Needed to Buy]]+Table132[[#This Row],[Shipping]]</f>
        <v>8.8000000000000007</v>
      </c>
      <c r="K29" s="10" t="s">
        <v>87</v>
      </c>
      <c r="L29" s="11" t="s">
        <v>42</v>
      </c>
    </row>
    <row r="30" spans="1:12" ht="24.95" customHeight="1" x14ac:dyDescent="0.25">
      <c r="A30" s="3" t="s">
        <v>15</v>
      </c>
      <c r="E30" s="1"/>
      <c r="F30" s="6"/>
      <c r="G30" s="6"/>
      <c r="H30" s="9"/>
      <c r="I30" s="8">
        <v>1</v>
      </c>
      <c r="J30" s="6">
        <f>Table132[[#This Row],[Unit Price]]*Table132[[#This Row],[Needed to Buy]]+Table132[[#This Row],[Shipping]]</f>
        <v>0</v>
      </c>
      <c r="K30" s="10"/>
      <c r="L30" s="4" t="s">
        <v>15</v>
      </c>
    </row>
    <row r="31" spans="1:12" ht="24.95" customHeight="1" x14ac:dyDescent="0.25">
      <c r="A31" s="1" t="s">
        <v>14</v>
      </c>
      <c r="B31" s="3" t="s">
        <v>8</v>
      </c>
      <c r="C31" s="3" t="s">
        <v>17</v>
      </c>
      <c r="E31" s="1">
        <v>1</v>
      </c>
      <c r="F31" s="6">
        <v>5.95</v>
      </c>
      <c r="G31" s="6">
        <v>0</v>
      </c>
      <c r="H31" s="9">
        <v>1</v>
      </c>
      <c r="I31" s="8">
        <v>1</v>
      </c>
      <c r="J31" s="6">
        <f>Table132[[#This Row],[Unit Price]]*Table132[[#This Row],[Needed to Buy]]+Table132[[#This Row],[Shipping]]</f>
        <v>5.95</v>
      </c>
      <c r="K31" s="10" t="s">
        <v>18</v>
      </c>
      <c r="L31" s="11" t="s">
        <v>15</v>
      </c>
    </row>
    <row r="32" spans="1:12" ht="24.95" customHeight="1" x14ac:dyDescent="0.25">
      <c r="A32" s="1" t="s">
        <v>14</v>
      </c>
      <c r="B32" s="3" t="s">
        <v>28</v>
      </c>
      <c r="D32" s="3" t="s">
        <v>31</v>
      </c>
      <c r="E32" s="1">
        <v>1</v>
      </c>
      <c r="F32" s="6">
        <v>2.88</v>
      </c>
      <c r="G32" s="6">
        <v>1.66</v>
      </c>
      <c r="H32" s="9">
        <v>1</v>
      </c>
      <c r="I32" s="8">
        <v>1</v>
      </c>
      <c r="J32" s="6">
        <f>Table132[[#This Row],[Unit Price]]*Table132[[#This Row],[Needed to Buy]]+Table132[[#This Row],[Shipping]]</f>
        <v>4.54</v>
      </c>
      <c r="K32" s="10" t="s">
        <v>29</v>
      </c>
      <c r="L32" s="11" t="s">
        <v>15</v>
      </c>
    </row>
    <row r="33" spans="1:12" ht="24.95" customHeight="1" x14ac:dyDescent="0.25">
      <c r="A33" s="1" t="s">
        <v>14</v>
      </c>
      <c r="B33" s="3" t="s">
        <v>33</v>
      </c>
      <c r="D33" s="3" t="s">
        <v>34</v>
      </c>
      <c r="E33" s="1">
        <v>1</v>
      </c>
      <c r="F33" s="6">
        <v>2.74</v>
      </c>
      <c r="G33" s="6">
        <v>0</v>
      </c>
      <c r="H33" s="9">
        <v>1</v>
      </c>
      <c r="I33" s="8">
        <v>1</v>
      </c>
      <c r="J33" s="6">
        <f>Table132[[#This Row],[Unit Price]]*Table132[[#This Row],[Needed to Buy]]+Table132[[#This Row],[Shipping]]</f>
        <v>2.74</v>
      </c>
      <c r="K33" s="10" t="s">
        <v>26</v>
      </c>
      <c r="L33" s="11" t="s">
        <v>15</v>
      </c>
    </row>
    <row r="34" spans="1:12" ht="24.95" customHeight="1" x14ac:dyDescent="0.25">
      <c r="A34" s="1" t="s">
        <v>14</v>
      </c>
      <c r="B34" s="3" t="s">
        <v>67</v>
      </c>
      <c r="D34" s="3" t="s">
        <v>69</v>
      </c>
      <c r="E34" s="1">
        <v>1</v>
      </c>
      <c r="F34" s="6">
        <v>3.8</v>
      </c>
      <c r="G34" s="6">
        <v>0</v>
      </c>
      <c r="H34" s="9">
        <v>1</v>
      </c>
      <c r="I34" s="8">
        <v>1</v>
      </c>
      <c r="J34" s="6">
        <f>Table132[[#This Row],[Unit Price]]*Table132[[#This Row],[Needed to Buy]]+Table132[[#This Row],[Shipping]]</f>
        <v>3.8</v>
      </c>
      <c r="K34" s="10" t="s">
        <v>12</v>
      </c>
      <c r="L34" s="11" t="s">
        <v>15</v>
      </c>
    </row>
    <row r="35" spans="1:12" ht="24.95" customHeight="1" x14ac:dyDescent="0.25">
      <c r="A35" s="1" t="s">
        <v>14</v>
      </c>
      <c r="B35" s="3" t="s">
        <v>70</v>
      </c>
      <c r="D35" s="3" t="s">
        <v>49</v>
      </c>
      <c r="E35" s="1">
        <v>2</v>
      </c>
      <c r="F35" s="6">
        <v>3.99</v>
      </c>
      <c r="G35" s="6">
        <v>0</v>
      </c>
      <c r="H35" s="9">
        <v>2</v>
      </c>
      <c r="I35" s="8">
        <v>1</v>
      </c>
      <c r="J35" s="6">
        <f>Table132[[#This Row],[Unit Price]]*Table132[[#This Row],[Needed to Buy]]+Table132[[#This Row],[Shipping]]</f>
        <v>3.99</v>
      </c>
      <c r="K35" s="10" t="s">
        <v>12</v>
      </c>
      <c r="L35" s="11" t="s">
        <v>15</v>
      </c>
    </row>
    <row r="36" spans="1:12" ht="24.95" customHeight="1" x14ac:dyDescent="0.25">
      <c r="A36" s="3" t="s">
        <v>45</v>
      </c>
      <c r="B36" s="3" t="s">
        <v>41</v>
      </c>
      <c r="D36" s="3" t="s">
        <v>40</v>
      </c>
      <c r="E36" s="1">
        <v>1</v>
      </c>
      <c r="F36" s="6">
        <v>0</v>
      </c>
      <c r="G36" s="6">
        <v>0</v>
      </c>
      <c r="H36" s="9"/>
      <c r="I36" s="8">
        <v>1</v>
      </c>
      <c r="J36" s="6">
        <f>Table132[[#This Row],[Unit Price]]*Table132[[#This Row],[Needed to Buy]]+Table132[[#This Row],[Shipping]]</f>
        <v>0</v>
      </c>
      <c r="K36" s="10" t="s">
        <v>16</v>
      </c>
      <c r="L36" s="4"/>
    </row>
    <row r="37" spans="1:12" ht="24.95" customHeight="1" x14ac:dyDescent="0.25">
      <c r="A37" s="3" t="s">
        <v>4</v>
      </c>
      <c r="E37"/>
      <c r="F37" s="1"/>
      <c r="G37" s="1"/>
      <c r="H37" s="1"/>
      <c r="I37" s="1"/>
      <c r="J37" s="7">
        <f>SUM(Table132[Total Price])</f>
        <v>73.52</v>
      </c>
      <c r="K37" s="7"/>
      <c r="L37" s="5"/>
    </row>
  </sheetData>
  <mergeCells count="3">
    <mergeCell ref="A1:L1"/>
    <mergeCell ref="A2:E2"/>
    <mergeCell ref="F2:L2"/>
  </mergeCells>
  <phoneticPr fontId="4" type="noConversion"/>
  <hyperlinks>
    <hyperlink ref="L31" r:id="rId1" xr:uid="{4DDFA626-C1E3-4458-92A2-B7D165A0519C}"/>
    <hyperlink ref="L7" r:id="rId2" xr:uid="{5ABDACB3-B3F4-4F86-99EC-4AA62FA84D21}"/>
    <hyperlink ref="L17" r:id="rId3" xr:uid="{6459CE0B-A281-4375-9C7C-05121ADE6BE2}"/>
    <hyperlink ref="L32" r:id="rId4" xr:uid="{018F4AFE-A58A-48E7-A5D8-D49BBBA7AF38}"/>
    <hyperlink ref="L33" r:id="rId5" xr:uid="{84533807-29E2-4CAA-84C9-34900C15055C}"/>
    <hyperlink ref="L35" r:id="rId6" xr:uid="{C14D6FD1-AEE2-4ECD-A527-6196769534BB}"/>
    <hyperlink ref="L34" r:id="rId7" xr:uid="{1D36EC75-443F-4CE4-BE91-6BDDFCDE7D8D}"/>
    <hyperlink ref="L4" r:id="rId8" xr:uid="{EA2BF17E-AEDD-418F-B946-1A51F7ADFB2B}"/>
    <hyperlink ref="L30" r:id="rId9" xr:uid="{D1B46D99-B5EC-4C8E-9224-FE4D594B95AA}"/>
    <hyperlink ref="L9" r:id="rId10" xr:uid="{0BF92FBB-E3CA-4ECC-840E-E24C686BC1A2}"/>
    <hyperlink ref="L10" r:id="rId11" xr:uid="{760BC1CB-8B4B-441B-8268-FA0F281806D5}"/>
    <hyperlink ref="L11" r:id="rId12" xr:uid="{530527DC-ED80-45C6-AB9A-5EA3FB072465}"/>
    <hyperlink ref="L12" r:id="rId13" xr:uid="{7CAF7B79-8CAB-4E9D-AD8C-A7FE50B8F23A}"/>
    <hyperlink ref="L13" r:id="rId14" xr:uid="{58E9F810-BF75-4A68-AAE9-F530F03DE5A6}"/>
    <hyperlink ref="L14" r:id="rId15" xr:uid="{6BB873C0-FB4F-4330-BB12-175233D75E85}"/>
    <hyperlink ref="L15" r:id="rId16" xr:uid="{C03B4D72-2A69-43BB-9CB2-3540A8576489}"/>
    <hyperlink ref="L8" r:id="rId17" xr:uid="{419A9A14-A395-4481-B657-4D8207AD2077}"/>
    <hyperlink ref="L18:L29" r:id="rId18" display="AliExpress" xr:uid="{3A0D5842-A681-46B6-B65F-70C433481904}"/>
    <hyperlink ref="L18" r:id="rId19" xr:uid="{0C9AD063-EF43-48EE-B6D6-5A087B2D2756}"/>
    <hyperlink ref="L19" r:id="rId20" xr:uid="{EE0CEFE6-9DCA-41E4-B625-3DA2B66AF10C}"/>
    <hyperlink ref="L20" r:id="rId21" xr:uid="{922FB6AA-7CFB-45FA-96E3-C92762136D40}"/>
    <hyperlink ref="L21" r:id="rId22" xr:uid="{4BDAA4AD-9A6F-443B-87ED-AE2AB83DBC61}"/>
    <hyperlink ref="L22" r:id="rId23" xr:uid="{55BFF63F-1C91-4847-AA5F-A9ABF2839F31}"/>
    <hyperlink ref="L23" r:id="rId24" xr:uid="{514B2E75-1B20-48E9-9CA0-76EF130FB9D3}"/>
    <hyperlink ref="L24" r:id="rId25" xr:uid="{A0BEE243-3D46-4667-9B2B-52390856EBA5}"/>
    <hyperlink ref="L25" r:id="rId26" xr:uid="{F7007339-A6F3-46FB-B47A-24C34A4B58ED}"/>
    <hyperlink ref="L26" r:id="rId27" xr:uid="{84F3E837-CB20-4605-8A34-25AD337BB1E9}"/>
    <hyperlink ref="L27" r:id="rId28" xr:uid="{5580C55D-C0BE-426D-BADE-687677D952FD}"/>
    <hyperlink ref="L28" r:id="rId29" xr:uid="{0DA4CC6C-2226-45B9-B3BA-364C2DFD53EF}"/>
    <hyperlink ref="L29" r:id="rId30" xr:uid="{7605B771-EC4A-4575-8456-9FE46D229D2F}"/>
    <hyperlink ref="L16" r:id="rId31" xr:uid="{E588467F-8875-4F3D-BA7E-9367A9B8D12C}"/>
  </hyperlinks>
  <pageMargins left="0.7" right="0.7" top="0.75" bottom="0.75" header="0.3" footer="0.3"/>
  <tableParts count="1">
    <tablePart r:id="rId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66EC-49D9-49EE-80AF-E86C05C8DBDB}">
  <dimension ref="A1:J9"/>
  <sheetViews>
    <sheetView workbookViewId="0">
      <selection activeCell="J1" sqref="J1"/>
    </sheetView>
  </sheetViews>
  <sheetFormatPr defaultColWidth="20.7109375" defaultRowHeight="24.95" customHeight="1" x14ac:dyDescent="0.25"/>
  <cols>
    <col min="1" max="1" width="20.7109375" style="3"/>
    <col min="2" max="2" width="25.7109375" style="3" customWidth="1"/>
    <col min="3" max="3" width="15.7109375" style="3" customWidth="1"/>
    <col min="4" max="5" width="20.7109375" style="3"/>
    <col min="6" max="6" width="15.7109375" style="3" customWidth="1"/>
    <col min="7" max="8" width="20.7109375" style="3"/>
    <col min="9" max="9" width="10.7109375" style="3" customWidth="1"/>
    <col min="10" max="10" width="20.7109375" style="3" customWidth="1"/>
    <col min="11" max="16384" width="20.7109375" style="3"/>
  </cols>
  <sheetData>
    <row r="1" spans="1:10" customFormat="1" ht="24.95" customHeight="1" x14ac:dyDescent="0.25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3"/>
    </row>
    <row r="2" spans="1:10" customFormat="1" ht="24.95" customHeight="1" x14ac:dyDescent="0.25">
      <c r="A2" s="12" t="s">
        <v>7</v>
      </c>
      <c r="B2" s="12"/>
      <c r="C2" s="12"/>
      <c r="D2" s="12" t="s">
        <v>10</v>
      </c>
      <c r="E2" s="12"/>
      <c r="F2" s="12"/>
      <c r="G2" s="12"/>
      <c r="H2" s="12"/>
      <c r="I2" s="12"/>
      <c r="J2" s="3"/>
    </row>
    <row r="3" spans="1:10" customFormat="1" ht="24.95" customHeight="1" x14ac:dyDescent="0.25">
      <c r="A3" s="2" t="s">
        <v>46</v>
      </c>
      <c r="B3" s="2" t="s">
        <v>39</v>
      </c>
      <c r="C3" s="2" t="s">
        <v>38</v>
      </c>
      <c r="D3" s="2" t="s">
        <v>19</v>
      </c>
      <c r="E3" s="2" t="s">
        <v>5</v>
      </c>
      <c r="F3" s="2" t="s">
        <v>11</v>
      </c>
      <c r="G3" s="2" t="s">
        <v>6</v>
      </c>
      <c r="H3" s="2" t="s">
        <v>13</v>
      </c>
      <c r="I3" s="2" t="s">
        <v>2</v>
      </c>
      <c r="J3" s="3"/>
    </row>
    <row r="4" spans="1:10" ht="24.95" customHeight="1" x14ac:dyDescent="0.25">
      <c r="A4" s="3" t="s">
        <v>21</v>
      </c>
      <c r="B4" s="3" t="s">
        <v>20</v>
      </c>
      <c r="C4" s="1">
        <v>2</v>
      </c>
      <c r="D4" s="6">
        <v>1.72</v>
      </c>
      <c r="E4" s="6">
        <v>1.1200000000000001</v>
      </c>
      <c r="F4" s="8">
        <v>1</v>
      </c>
      <c r="G4" s="6">
        <f>Table1325[[#This Row],[Unit Price]]*Table1325[[#This Row],[Needed to Buy]]+Table1325[[#This Row],[Shipping]]</f>
        <v>2.84</v>
      </c>
      <c r="H4" s="10" t="s">
        <v>22</v>
      </c>
      <c r="I4" s="4" t="s">
        <v>21</v>
      </c>
    </row>
    <row r="5" spans="1:10" ht="24.95" customHeight="1" x14ac:dyDescent="0.25">
      <c r="A5" s="3" t="s">
        <v>23</v>
      </c>
      <c r="B5" s="3" t="s">
        <v>47</v>
      </c>
      <c r="C5" s="1">
        <v>8</v>
      </c>
      <c r="D5" s="6">
        <v>9.5299999999999994</v>
      </c>
      <c r="E5" s="6">
        <v>5.94</v>
      </c>
      <c r="F5" s="8">
        <v>1</v>
      </c>
      <c r="G5" s="6">
        <f>Table1325[[#This Row],[Unit Price]]*Table1325[[#This Row],[Needed to Buy]]+Table1325[[#This Row],[Shipping]]</f>
        <v>15.469999999999999</v>
      </c>
      <c r="H5" s="10" t="s">
        <v>24</v>
      </c>
      <c r="I5" s="4" t="s">
        <v>23</v>
      </c>
      <c r="J5" s="1"/>
    </row>
    <row r="6" spans="1:10" ht="24.95" customHeight="1" x14ac:dyDescent="0.25">
      <c r="A6" s="3" t="s">
        <v>42</v>
      </c>
      <c r="B6" s="3" t="s">
        <v>48</v>
      </c>
      <c r="C6" s="1">
        <v>12</v>
      </c>
      <c r="D6" s="6">
        <v>31.45</v>
      </c>
      <c r="E6" s="6">
        <v>2.81</v>
      </c>
      <c r="F6" s="8">
        <v>1</v>
      </c>
      <c r="G6" s="6">
        <f>Table1325[[#This Row],[Unit Price]]*Table1325[[#This Row],[Needed to Buy]]+Table1325[[#This Row],[Shipping]]</f>
        <v>34.26</v>
      </c>
      <c r="H6" s="10" t="s">
        <v>43</v>
      </c>
      <c r="I6" s="4" t="s">
        <v>42</v>
      </c>
    </row>
    <row r="7" spans="1:10" ht="24.95" customHeight="1" x14ac:dyDescent="0.25">
      <c r="A7" s="3" t="s">
        <v>15</v>
      </c>
      <c r="B7" s="3" t="s">
        <v>48</v>
      </c>
      <c r="C7" s="1">
        <v>5</v>
      </c>
      <c r="D7" s="6">
        <v>19.5</v>
      </c>
      <c r="E7" s="6">
        <v>1.66</v>
      </c>
      <c r="F7" s="8">
        <v>1</v>
      </c>
      <c r="G7" s="6">
        <f>Table1325[[#This Row],[Unit Price]]*Table1325[[#This Row],[Needed to Buy]]+Table1325[[#This Row],[Shipping]]</f>
        <v>21.16</v>
      </c>
      <c r="H7" s="10" t="s">
        <v>32</v>
      </c>
      <c r="I7" s="4" t="s">
        <v>15</v>
      </c>
    </row>
    <row r="8" spans="1:10" ht="24.95" customHeight="1" x14ac:dyDescent="0.25">
      <c r="A8" s="3" t="s">
        <v>41</v>
      </c>
      <c r="B8" s="3" t="s">
        <v>40</v>
      </c>
      <c r="C8" s="1">
        <v>2</v>
      </c>
      <c r="D8" s="6">
        <v>0</v>
      </c>
      <c r="E8" s="6">
        <v>0</v>
      </c>
      <c r="F8" s="8">
        <v>1</v>
      </c>
      <c r="G8" s="6">
        <f>Table1325[[#This Row],[Unit Price]]*Table1325[[#This Row],[Needed to Buy]]+Table1325[[#This Row],[Shipping]]</f>
        <v>0</v>
      </c>
      <c r="H8" s="10" t="s">
        <v>16</v>
      </c>
      <c r="I8" s="4"/>
    </row>
    <row r="9" spans="1:10" ht="24.95" customHeight="1" x14ac:dyDescent="0.25">
      <c r="A9" s="3" t="s">
        <v>4</v>
      </c>
      <c r="C9"/>
      <c r="D9" s="1"/>
      <c r="E9" s="1"/>
      <c r="F9" s="1"/>
      <c r="G9" s="7">
        <f>SUM(Table1325[Total Price])</f>
        <v>73.72999999999999</v>
      </c>
      <c r="H9" s="7"/>
      <c r="I9" s="5"/>
    </row>
  </sheetData>
  <mergeCells count="3">
    <mergeCell ref="A1:I1"/>
    <mergeCell ref="A2:C2"/>
    <mergeCell ref="D2:I2"/>
  </mergeCells>
  <phoneticPr fontId="4" type="noConversion"/>
  <hyperlinks>
    <hyperlink ref="I4" r:id="rId1" xr:uid="{8A561FCD-3E62-4326-AC8C-BA6F7DA8F968}"/>
    <hyperlink ref="I5" r:id="rId2" xr:uid="{4EEF68E0-6BE1-4A49-A727-CB71B6A61A5C}"/>
    <hyperlink ref="I6" r:id="rId3" xr:uid="{FEE499EA-0091-42D0-88E0-7DCF10BB4B63}"/>
    <hyperlink ref="I7" r:id="rId4" xr:uid="{63606D5D-FCBC-4DDF-A88A-CE7D04B70A8D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store-orders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Dixon</dc:creator>
  <cp:lastModifiedBy>Samuel Dixon</cp:lastModifiedBy>
  <dcterms:created xsi:type="dcterms:W3CDTF">2025-08-04T12:49:31Z</dcterms:created>
  <dcterms:modified xsi:type="dcterms:W3CDTF">2026-03-12T18:00:24Z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559e1-065f-48bd-9ddf-4bc014495b9d_Enabled">
    <vt:lpwstr>true</vt:lpwstr>
  </property>
  <property fmtid="{D5CDD505-2E9C-101B-9397-08002B2CF9AE}" pid="3" name="MSIP_Label_ce7559e1-065f-48bd-9ddf-4bc014495b9d_SetDate">
    <vt:lpwstr>2025-08-04T12:49:46Z</vt:lpwstr>
  </property>
  <property fmtid="{D5CDD505-2E9C-101B-9397-08002B2CF9AE}" pid="4" name="MSIP_Label_ce7559e1-065f-48bd-9ddf-4bc014495b9d_Method">
    <vt:lpwstr>Standard</vt:lpwstr>
  </property>
  <property fmtid="{D5CDD505-2E9C-101B-9397-08002B2CF9AE}" pid="5" name="MSIP_Label_ce7559e1-065f-48bd-9ddf-4bc014495b9d_Name">
    <vt:lpwstr>defa4170-0d19-0005-0004-bc88714345d2</vt:lpwstr>
  </property>
  <property fmtid="{D5CDD505-2E9C-101B-9397-08002B2CF9AE}" pid="6" name="MSIP_Label_ce7559e1-065f-48bd-9ddf-4bc014495b9d_SiteId">
    <vt:lpwstr>854b4310-0dbf-4241-ae41-4df0a4f8db92</vt:lpwstr>
  </property>
  <property fmtid="{D5CDD505-2E9C-101B-9397-08002B2CF9AE}" pid="7" name="MSIP_Label_ce7559e1-065f-48bd-9ddf-4bc014495b9d_ActionId">
    <vt:lpwstr>0f5139c8-e7ce-4968-8182-2ce4956cab68</vt:lpwstr>
  </property>
  <property fmtid="{D5CDD505-2E9C-101B-9397-08002B2CF9AE}" pid="8" name="MSIP_Label_ce7559e1-065f-48bd-9ddf-4bc014495b9d_ContentBits">
    <vt:lpwstr>0</vt:lpwstr>
  </property>
  <property fmtid="{D5CDD505-2E9C-101B-9397-08002B2CF9AE}" pid="9" name="MSIP_Label_ce7559e1-065f-48bd-9ddf-4bc014495b9d_Tag">
    <vt:lpwstr>10, 3, 0, 1</vt:lpwstr>
  </property>
</Properties>
</file>